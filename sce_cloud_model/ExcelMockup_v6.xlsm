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 activeTab="1"/>
  </bookViews>
  <sheets>
    <sheet name="Climates, Rates, Adoption Model" sheetId="2" r:id="rId1"/>
    <sheet name="Category_Names" sheetId="5" r:id="rId2"/>
    <sheet name="PV Parameters" sheetId="4" r:id="rId3"/>
    <sheet name="Tariff Structures" sheetId="8" r:id="rId4"/>
    <sheet name="Utility Costs" sheetId="9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4" l="1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</calcChain>
</file>

<file path=xl/sharedStrings.xml><?xml version="1.0" encoding="utf-8"?>
<sst xmlns="http://schemas.openxmlformats.org/spreadsheetml/2006/main" count="151" uniqueCount="122">
  <si>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</si>
  <si>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</si>
  <si>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</si>
  <si>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</si>
  <si>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</si>
  <si>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</si>
  <si>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</si>
  <si>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</si>
  <si>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</si>
  <si>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</si>
  <si>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</si>
  <si>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</si>
  <si>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</si>
  <si>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</si>
  <si>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</si>
  <si>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</si>
  <si>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</si>
  <si>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</si>
  <si>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</si>
  <si>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</si>
  <si>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</si>
  <si>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</si>
  <si>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</si>
  <si>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</si>
  <si>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</si>
  <si>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</si>
  <si>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</si>
  <si>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</si>
  <si>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</si>
  <si>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</si>
  <si>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</si>
  <si>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</si>
  <si>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</si>
  <si>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</si>
  <si>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</si>
  <si>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Cost of PV per kW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</si>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</sst>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"/>
    <numFmt numFmtId="165" formatCode="&quot;$&quot;#,##0.000"/>
    <numFmt numFmtId="166" formatCode="&quot;$&quot;#,##0.00000"/>
    <numFmt numFmtId="167" formatCode="&quot;$&quot;#,##0.000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</fills>
  <borders count="1">
    <border>
      <left/>
      <right/>
      <top/>
      <bottom/>
      <diagonal/>
    </border>
  </borders>
  <cellStyleXfs count="15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0" fillId="6" borderId="0" xfId="0" applyFill="1"/>
    <xf numFmtId="0" fontId="2" fillId="7" borderId="0" xfId="0" applyFont="1" applyFill="1"/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0" fillId="2" borderId="0" xfId="0" applyFill="1" applyAlignment="1">
      <alignment horizontal="center"/>
    </xf>
    <xf numFmtId="0" fontId="1" fillId="6" borderId="0" xfId="0" applyFont="1" applyFill="1" applyAlignment="1"/>
    <xf numFmtId="0" fontId="0" fillId="6" borderId="0" xfId="0" applyFill="1" applyAlignme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1" fillId="3" borderId="0" xfId="0" applyFont="1" applyFill="1" applyBorder="1" applyAlignment="1">
      <alignment horizontal="center"/>
    </xf>
  </cellXfs>
  <cellStyles count="1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31"/>
  <sheetViews>
    <sheetView zoomScale="75" zoomScaleNormal="75" zoomScalePageLayoutView="75" workbookViewId="0">
      <selection activeCell="F36" sqref="F36"/>
    </sheetView>
  </sheetViews>
  <sheetFormatPr baseColWidth="10" defaultColWidth="11" defaultRowHeight="15" x14ac:dyDescent="0"/>
  <cols>
    <col min="1" max="1" width="18" bestFit="1" customWidth="1"/>
    <col min="2" max="2" width="15.6640625" customWidth="1"/>
    <col min="3" max="3" width="28" bestFit="1" customWidth="1"/>
    <col min="4" max="4" width="28.83203125" bestFit="1" customWidth="1"/>
    <col min="5" max="5" width="57" bestFit="1" customWidth="1"/>
    <col min="6" max="6" width="61" bestFit="1" customWidth="1"/>
    <col min="7" max="7" width="57" bestFit="1" customWidth="1"/>
    <col min="8" max="8" width="13.1640625" bestFit="1" customWidth="1"/>
    <col min="11" max="11" width="11.1640625" bestFit="1" customWidth="1"/>
    <col min="14" max="14" width="11.1640625" bestFit="1" customWidth="1"/>
  </cols>
  <sheetData>
    <row r="1" spans="1:6">
      <c r="A1" s="26" t="s">
        <v>0</v>
      </c>
      <c r="C1" s="1" t="s">
        <v>37</v>
      </c>
      <c r="D1" s="1" t="s">
        <v>38</v>
      </c>
      <c r="E1" s="4" t="s">
        <v>8</v>
      </c>
      <c r="F1" s="4" t="s">
        <v>9</v>
      </c>
    </row>
    <row r="2" spans="1:6">
      <c r="A2" s="2" t="s">
        <v>1</v>
      </c>
      <c r="C2" t="s">
        <v>4</v>
      </c>
      <c r="D2" t="s">
        <v>20</v>
      </c>
      <c r="E2" t="s">
        <v>10</v>
      </c>
      <c r="F2" t="s">
        <v>74</v>
      </c>
    </row>
    <row r="3" spans="1:6">
      <c r="A3" s="2" t="s">
        <v>107</v>
      </c>
      <c r="C3" t="s">
        <v>5</v>
      </c>
      <c r="D3" t="s">
        <v>21</v>
      </c>
      <c r="E3" t="s">
        <v>39</v>
      </c>
      <c r="F3" t="s">
        <v>75</v>
      </c>
    </row>
    <row r="4" spans="1:6">
      <c r="A4" s="2"/>
      <c r="B4" s="2"/>
      <c r="C4" t="s">
        <v>6</v>
      </c>
      <c r="D4" t="s">
        <v>18</v>
      </c>
      <c r="E4" t="s">
        <v>76</v>
      </c>
      <c r="F4" t="s">
        <v>77</v>
      </c>
    </row>
    <row r="5" spans="1:6">
      <c r="C5" t="s">
        <v>7</v>
      </c>
      <c r="D5" t="s">
        <v>19</v>
      </c>
      <c r="E5" t="s">
        <v>11</v>
      </c>
      <c r="F5" t="s">
        <v>13</v>
      </c>
    </row>
    <row r="6" spans="1:6">
      <c r="C6" t="s">
        <v>15</v>
      </c>
      <c r="D6" t="s">
        <v>16</v>
      </c>
      <c r="E6" t="s">
        <v>17</v>
      </c>
      <c r="F6" t="s">
        <v>26</v>
      </c>
    </row>
    <row r="7" spans="1:6">
      <c r="C7" t="s">
        <v>23</v>
      </c>
      <c r="D7" t="s">
        <v>22</v>
      </c>
      <c r="E7" t="s">
        <v>12</v>
      </c>
      <c r="F7" t="s">
        <v>14</v>
      </c>
    </row>
    <row r="8" spans="1:6">
      <c r="C8" t="s">
        <v>24</v>
      </c>
      <c r="D8" t="s">
        <v>25</v>
      </c>
      <c r="E8" t="s">
        <v>87</v>
      </c>
      <c r="F8" t="s">
        <v>88</v>
      </c>
    </row>
    <row r="9" spans="1:6">
      <c r="E9" t="s">
        <v>96</v>
      </c>
      <c r="F9" t="s">
        <v>92</v>
      </c>
    </row>
    <row r="10" spans="1:6">
      <c r="E10" t="s">
        <v>91</v>
      </c>
      <c r="F10" t="s">
        <v>93</v>
      </c>
    </row>
    <row r="11" spans="1:6">
      <c r="E11" t="s">
        <v>97</v>
      </c>
      <c r="F11" t="s">
        <v>89</v>
      </c>
    </row>
    <row r="12" spans="1:6">
      <c r="E12" t="s">
        <v>90</v>
      </c>
      <c r="F12" t="s">
        <v>94</v>
      </c>
    </row>
    <row r="13" spans="1:6">
      <c r="E13" t="s">
        <v>98</v>
      </c>
      <c r="F13" t="s">
        <v>95</v>
      </c>
    </row>
    <row r="16" spans="1:6">
      <c r="C16" s="25" t="s">
        <v>69</v>
      </c>
      <c r="D16" s="25" t="s">
        <v>70</v>
      </c>
    </row>
    <row r="17" spans="3:12">
      <c r="C17" t="s">
        <v>84</v>
      </c>
      <c r="D17" t="s">
        <v>72</v>
      </c>
    </row>
    <row r="18" spans="3:12">
      <c r="C18" t="s">
        <v>3</v>
      </c>
      <c r="D18" t="s">
        <v>73</v>
      </c>
    </row>
    <row r="19" spans="3:12">
      <c r="C19" t="s">
        <v>71</v>
      </c>
      <c r="D19" t="s">
        <v>78</v>
      </c>
    </row>
    <row r="20" spans="3:12">
      <c r="C20" t="s">
        <v>85</v>
      </c>
      <c r="D20" t="s">
        <v>86</v>
      </c>
    </row>
    <row r="23" spans="3:12">
      <c r="D23" s="30" t="s">
        <v>99</v>
      </c>
      <c r="E23" s="30"/>
      <c r="F23" s="33"/>
      <c r="G23" s="34"/>
      <c r="H23" s="34"/>
      <c r="I23" s="34"/>
      <c r="J23" s="34"/>
      <c r="K23" s="34"/>
      <c r="L23" s="34"/>
    </row>
    <row r="24" spans="3:12">
      <c r="C24" s="3" t="s">
        <v>69</v>
      </c>
      <c r="D24" s="3" t="s">
        <v>74</v>
      </c>
      <c r="E24" s="3" t="s">
        <v>75</v>
      </c>
      <c r="F24" s="3" t="s">
        <v>77</v>
      </c>
      <c r="G24" s="3" t="s">
        <v>88</v>
      </c>
      <c r="H24" s="3" t="s">
        <v>92</v>
      </c>
      <c r="I24" s="3" t="s">
        <v>93</v>
      </c>
      <c r="J24" s="3" t="s">
        <v>89</v>
      </c>
      <c r="K24" s="3" t="s">
        <v>94</v>
      </c>
      <c r="L24" s="3" t="s">
        <v>95</v>
      </c>
    </row>
    <row r="25" spans="3:12">
      <c r="C25" t="s">
        <v>2</v>
      </c>
      <c r="D25">
        <v>3.5000000000000001E-3</v>
      </c>
      <c r="E25">
        <v>0.1</v>
      </c>
      <c r="F25">
        <v>1E-4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3:12">
      <c r="C26" t="s">
        <v>3</v>
      </c>
      <c r="D26">
        <v>3.5000000000000001E-3</v>
      </c>
      <c r="E26">
        <v>0.1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3:12">
      <c r="C27" t="s">
        <v>85</v>
      </c>
      <c r="D27">
        <v>0</v>
      </c>
      <c r="E27">
        <v>0</v>
      </c>
      <c r="F27">
        <v>0</v>
      </c>
      <c r="G27">
        <v>0.03</v>
      </c>
      <c r="H27">
        <v>7.0000000000000005E-8</v>
      </c>
      <c r="I27">
        <v>3.9999999999999998E-6</v>
      </c>
      <c r="J27">
        <v>0.05</v>
      </c>
      <c r="K27">
        <v>2.9999999999999997E-8</v>
      </c>
      <c r="L27">
        <v>7.0000000000000007E-2</v>
      </c>
    </row>
    <row r="30" spans="3:12">
      <c r="C30" s="3" t="s">
        <v>69</v>
      </c>
      <c r="D30" s="3" t="s">
        <v>74</v>
      </c>
      <c r="E30" s="3" t="s">
        <v>75</v>
      </c>
      <c r="F30" s="3" t="s">
        <v>77</v>
      </c>
      <c r="G30" s="3" t="s">
        <v>88</v>
      </c>
      <c r="H30" s="3" t="s">
        <v>92</v>
      </c>
      <c r="I30" s="3" t="s">
        <v>93</v>
      </c>
      <c r="J30" s="3" t="s">
        <v>89</v>
      </c>
      <c r="K30" s="3" t="s">
        <v>94</v>
      </c>
      <c r="L30" s="3" t="s">
        <v>95</v>
      </c>
    </row>
    <row r="31" spans="3:12">
      <c r="C31" t="s">
        <v>100</v>
      </c>
      <c r="D31">
        <v>0</v>
      </c>
      <c r="E31">
        <v>0</v>
      </c>
      <c r="F31">
        <v>0</v>
      </c>
      <c r="G31">
        <v>0</v>
      </c>
      <c r="H31">
        <v>7.0000000000000005E-8</v>
      </c>
      <c r="I31">
        <v>1.114E-4</v>
      </c>
      <c r="J31">
        <v>6.5659999999999996E-2</v>
      </c>
      <c r="K31">
        <v>1.517E-4</v>
      </c>
      <c r="L31">
        <v>0.13139999999999999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1"/>
  <sheetViews>
    <sheetView tabSelected="1" workbookViewId="0">
      <selection activeCell="D19" sqref="D19"/>
    </sheetView>
  </sheetViews>
  <sheetFormatPr baseColWidth="10" defaultColWidth="11" defaultRowHeight="15" x14ac:dyDescent="0"/>
  <cols>
    <col min="1" max="1" width="14.6640625" bestFit="1" customWidth="1"/>
    <col min="2" max="2" width="9.5" bestFit="1" customWidth="1"/>
    <col min="3" max="3" width="28.83203125" bestFit="1" customWidth="1"/>
    <col min="4" max="8" width="16.6640625" bestFit="1" customWidth="1"/>
    <col min="9" max="9" width="17.83203125" customWidth="1"/>
  </cols>
  <sheetData>
    <row r="1" spans="1:9">
      <c r="A1" s="35" t="s">
        <v>106</v>
      </c>
    </row>
    <row r="2" spans="1:9">
      <c r="A2">
        <v>4200000</v>
      </c>
    </row>
    <row r="6" spans="1:9">
      <c r="A6" s="40" t="s">
        <v>104</v>
      </c>
      <c r="B6" s="41"/>
      <c r="C6" s="41"/>
      <c r="D6" s="31" t="s">
        <v>34</v>
      </c>
      <c r="E6" s="32"/>
      <c r="F6" s="32"/>
      <c r="G6" s="32"/>
      <c r="H6" s="32"/>
      <c r="I6" s="32"/>
    </row>
    <row r="7" spans="1:9" ht="30">
      <c r="A7" s="6" t="s">
        <v>101</v>
      </c>
      <c r="B7" s="6" t="s">
        <v>27</v>
      </c>
      <c r="C7" s="1" t="s">
        <v>105</v>
      </c>
      <c r="D7" s="27" t="s">
        <v>28</v>
      </c>
      <c r="E7" s="27" t="s">
        <v>29</v>
      </c>
      <c r="F7" s="27" t="s">
        <v>30</v>
      </c>
      <c r="G7" s="27" t="s">
        <v>31</v>
      </c>
      <c r="H7" s="27" t="s">
        <v>32</v>
      </c>
      <c r="I7" s="27" t="s">
        <v>33</v>
      </c>
    </row>
    <row r="8" spans="1:9">
      <c r="A8" s="7" t="s">
        <v>102</v>
      </c>
      <c r="B8" s="7" t="s">
        <v>1</v>
      </c>
      <c r="C8">
        <v>25</v>
      </c>
      <c r="D8">
        <v>95</v>
      </c>
      <c r="E8">
        <v>1</v>
      </c>
      <c r="F8">
        <v>1</v>
      </c>
      <c r="G8">
        <v>1</v>
      </c>
      <c r="H8">
        <v>1</v>
      </c>
      <c r="I8">
        <v>1</v>
      </c>
    </row>
    <row r="9" spans="1:9">
      <c r="A9" s="7" t="s">
        <v>103</v>
      </c>
      <c r="B9" s="7" t="s">
        <v>1</v>
      </c>
      <c r="C9">
        <v>25</v>
      </c>
      <c r="D9">
        <v>95</v>
      </c>
      <c r="E9">
        <v>1</v>
      </c>
      <c r="F9">
        <v>1</v>
      </c>
      <c r="G9">
        <v>1</v>
      </c>
      <c r="H9">
        <v>1</v>
      </c>
      <c r="I9">
        <v>1</v>
      </c>
    </row>
    <row r="10" spans="1:9">
      <c r="A10" s="7" t="s">
        <v>102</v>
      </c>
      <c r="B10" s="7" t="s">
        <v>107</v>
      </c>
      <c r="C10">
        <v>25</v>
      </c>
      <c r="D10">
        <v>95</v>
      </c>
      <c r="E10">
        <v>1</v>
      </c>
      <c r="F10">
        <v>1</v>
      </c>
      <c r="G10">
        <v>1</v>
      </c>
      <c r="H10">
        <v>1</v>
      </c>
      <c r="I10">
        <v>1</v>
      </c>
    </row>
    <row r="11" spans="1:9">
      <c r="A11" s="7" t="s">
        <v>103</v>
      </c>
      <c r="B11" s="7" t="s">
        <v>107</v>
      </c>
      <c r="C11">
        <v>25</v>
      </c>
      <c r="D11">
        <v>95</v>
      </c>
      <c r="E11">
        <v>1</v>
      </c>
      <c r="F11">
        <v>1</v>
      </c>
      <c r="G11">
        <v>1</v>
      </c>
      <c r="H11">
        <v>1</v>
      </c>
      <c r="I11">
        <v>1</v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AG6"/>
  <sheetViews>
    <sheetView workbookViewId="0">
      <selection activeCell="B14" sqref="B14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33">
      <c r="A2" s="8" t="s">
        <v>35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  <c r="V2" s="1">
        <v>2033</v>
      </c>
      <c r="W2" s="1">
        <v>2034</v>
      </c>
      <c r="X2" s="1">
        <v>2035</v>
      </c>
      <c r="Y2" s="1">
        <v>2036</v>
      </c>
      <c r="Z2" s="1">
        <v>2037</v>
      </c>
      <c r="AA2" s="1">
        <v>2038</v>
      </c>
      <c r="AB2" s="1">
        <v>2039</v>
      </c>
      <c r="AC2" s="1">
        <v>2040</v>
      </c>
      <c r="AD2" s="1">
        <v>2041</v>
      </c>
      <c r="AE2" s="1">
        <v>2042</v>
      </c>
      <c r="AF2" s="1">
        <v>2043</v>
      </c>
      <c r="AG2" s="1">
        <v>2044</v>
      </c>
    </row>
    <row r="3" spans="1:33">
      <c r="A3" s="5" t="s">
        <v>36</v>
      </c>
      <c r="B3">
        <v>4991</v>
      </c>
      <c r="C3">
        <f xml:space="preserve"> 0.95 * B3</f>
        <v>4741.45</v>
      </c>
      <c r="D3">
        <f t="shared" ref="D3:AG3" si="0" xml:space="preserve"> 0.95 * C3</f>
        <v>4504.3774999999996</v>
      </c>
      <c r="E3">
        <f t="shared" si="0"/>
        <v>4279.1586249999991</v>
      </c>
      <c r="F3">
        <f t="shared" si="0"/>
        <v>4065.2006937499991</v>
      </c>
      <c r="G3">
        <f t="shared" si="0"/>
        <v>3861.940659062499</v>
      </c>
      <c r="H3">
        <f t="shared" si="0"/>
        <v>3668.8436261093739</v>
      </c>
      <c r="I3">
        <f t="shared" si="0"/>
        <v>3485.4014448039052</v>
      </c>
      <c r="J3">
        <f t="shared" si="0"/>
        <v>3311.1313725637096</v>
      </c>
      <c r="K3">
        <f t="shared" si="0"/>
        <v>3145.574803935524</v>
      </c>
      <c r="L3">
        <f t="shared" si="0"/>
        <v>2988.2960637387478</v>
      </c>
      <c r="M3">
        <f t="shared" si="0"/>
        <v>2838.8812605518101</v>
      </c>
      <c r="N3">
        <f t="shared" si="0"/>
        <v>2696.9371975242193</v>
      </c>
      <c r="O3">
        <f t="shared" si="0"/>
        <v>2562.0903376480082</v>
      </c>
      <c r="P3">
        <f t="shared" si="0"/>
        <v>2433.9858207656075</v>
      </c>
      <c r="Q3">
        <f t="shared" si="0"/>
        <v>2312.286529727327</v>
      </c>
      <c r="R3">
        <f t="shared" si="0"/>
        <v>2196.6722032409607</v>
      </c>
      <c r="S3">
        <f t="shared" si="0"/>
        <v>2086.8385930789127</v>
      </c>
      <c r="T3">
        <f t="shared" si="0"/>
        <v>1982.496663424967</v>
      </c>
      <c r="U3">
        <f t="shared" si="0"/>
        <v>1883.3718302537186</v>
      </c>
      <c r="V3">
        <f t="shared" si="0"/>
        <v>1789.2032387410327</v>
      </c>
      <c r="W3">
        <f t="shared" si="0"/>
        <v>1699.743076803981</v>
      </c>
      <c r="X3">
        <f t="shared" si="0"/>
        <v>1614.7559229637818</v>
      </c>
      <c r="Y3">
        <f t="shared" si="0"/>
        <v>1534.0181268155927</v>
      </c>
      <c r="Z3">
        <f t="shared" si="0"/>
        <v>1457.317220474813</v>
      </c>
      <c r="AA3">
        <f t="shared" si="0"/>
        <v>1384.4513594510722</v>
      </c>
      <c r="AB3">
        <f t="shared" si="0"/>
        <v>1315.2287914785186</v>
      </c>
      <c r="AC3">
        <f t="shared" si="0"/>
        <v>1249.4673519045925</v>
      </c>
      <c r="AD3">
        <f t="shared" si="0"/>
        <v>1186.9939843093628</v>
      </c>
      <c r="AE3">
        <f t="shared" si="0"/>
        <v>1127.6442850938945</v>
      </c>
      <c r="AF3">
        <f t="shared" si="0"/>
        <v>1071.2620708391996</v>
      </c>
      <c r="AG3">
        <f t="shared" si="0"/>
        <v>1017.6989672972396</v>
      </c>
    </row>
    <row r="5" spans="1:33" ht="30">
      <c r="A5" s="36" t="s">
        <v>108</v>
      </c>
    </row>
    <row r="6" spans="1:33">
      <c r="A6">
        <v>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44"/>
  <sheetViews>
    <sheetView workbookViewId="0">
      <selection activeCell="F19" sqref="F19"/>
    </sheetView>
  </sheetViews>
  <sheetFormatPr baseColWidth="10" defaultColWidth="8.83203125" defaultRowHeight="15" x14ac:dyDescent="0"/>
  <cols>
    <col min="1" max="1" width="37.5" bestFit="1" customWidth="1"/>
    <col min="2" max="2" width="19.6640625" style="9" bestFit="1" customWidth="1"/>
    <col min="3" max="3" width="11.6640625" customWidth="1"/>
    <col min="4" max="4" width="10.33203125" style="16" hidden="1" customWidth="1"/>
  </cols>
  <sheetData>
    <row r="1" spans="1:4">
      <c r="A1" s="42" t="s">
        <v>41</v>
      </c>
      <c r="B1" s="42"/>
      <c r="C1" s="28"/>
    </row>
    <row r="2" spans="1:4">
      <c r="A2" s="11" t="s">
        <v>60</v>
      </c>
      <c r="B2" s="14">
        <v>4</v>
      </c>
      <c r="C2" s="16"/>
      <c r="D2" s="16">
        <v>1</v>
      </c>
    </row>
    <row r="3" spans="1:4">
      <c r="A3" s="12" t="s">
        <v>53</v>
      </c>
      <c r="B3" s="18">
        <v>0.01</v>
      </c>
      <c r="C3" s="17"/>
      <c r="D3" s="16">
        <v>2</v>
      </c>
    </row>
    <row r="4" spans="1:4">
      <c r="A4" s="12" t="s">
        <v>54</v>
      </c>
      <c r="B4" s="18">
        <v>0.01</v>
      </c>
      <c r="C4" s="17"/>
      <c r="D4" s="16">
        <v>3</v>
      </c>
    </row>
    <row r="5" spans="1:4">
      <c r="A5" s="12" t="s">
        <v>79</v>
      </c>
      <c r="B5" s="39">
        <v>3.5000000000000003E-2</v>
      </c>
      <c r="C5" s="17"/>
      <c r="D5" s="16">
        <v>4</v>
      </c>
    </row>
    <row r="6" spans="1:4">
      <c r="A6" s="12" t="s">
        <v>80</v>
      </c>
      <c r="B6" s="39">
        <v>0</v>
      </c>
      <c r="C6" s="17"/>
      <c r="D6" s="16">
        <v>5</v>
      </c>
    </row>
    <row r="7" spans="1:4">
      <c r="A7" s="12" t="s">
        <v>109</v>
      </c>
      <c r="B7" s="37">
        <v>0</v>
      </c>
      <c r="C7" s="17"/>
      <c r="D7" s="16" t="s">
        <v>67</v>
      </c>
    </row>
    <row r="8" spans="1:4">
      <c r="A8" s="12" t="s">
        <v>110</v>
      </c>
      <c r="B8" s="37">
        <v>0</v>
      </c>
      <c r="C8" s="17"/>
    </row>
    <row r="9" spans="1:4">
      <c r="A9" s="12" t="s">
        <v>111</v>
      </c>
      <c r="B9" s="38">
        <v>0</v>
      </c>
      <c r="C9" s="17"/>
    </row>
    <row r="10" spans="1:4">
      <c r="A10" s="12" t="s">
        <v>112</v>
      </c>
      <c r="B10" s="38">
        <v>0</v>
      </c>
      <c r="C10" s="17"/>
    </row>
    <row r="11" spans="1:4">
      <c r="A11" s="10"/>
      <c r="B11" s="20"/>
      <c r="C11" s="16"/>
    </row>
    <row r="12" spans="1:4">
      <c r="A12" s="42" t="s">
        <v>42</v>
      </c>
      <c r="B12" s="42"/>
      <c r="C12" s="16"/>
    </row>
    <row r="13" spans="1:4">
      <c r="A13" s="12" t="s">
        <v>81</v>
      </c>
      <c r="B13" s="18">
        <v>0.55000000000000004</v>
      </c>
      <c r="C13" s="16"/>
    </row>
    <row r="14" spans="1:4">
      <c r="A14" s="11" t="s">
        <v>61</v>
      </c>
      <c r="B14" s="18">
        <v>1</v>
      </c>
      <c r="C14" s="16"/>
    </row>
    <row r="15" spans="1:4">
      <c r="A15" s="11" t="s">
        <v>62</v>
      </c>
      <c r="B15" s="18">
        <v>1.3</v>
      </c>
      <c r="C15" s="16"/>
    </row>
    <row r="16" spans="1:4">
      <c r="A16" s="11" t="s">
        <v>63</v>
      </c>
      <c r="B16" s="18">
        <v>2</v>
      </c>
      <c r="C16" s="24"/>
    </row>
    <row r="17" spans="1:4">
      <c r="A17" s="11" t="s">
        <v>64</v>
      </c>
      <c r="B17" s="18">
        <v>2</v>
      </c>
      <c r="C17" s="16"/>
    </row>
    <row r="18" spans="1:4">
      <c r="A18" s="10"/>
      <c r="B18" s="20"/>
      <c r="C18" s="16"/>
    </row>
    <row r="19" spans="1:4">
      <c r="A19" s="42" t="s">
        <v>43</v>
      </c>
      <c r="B19" s="42"/>
      <c r="C19" s="16"/>
    </row>
    <row r="20" spans="1:4">
      <c r="A20" s="12" t="s">
        <v>44</v>
      </c>
      <c r="B20" s="21">
        <v>0</v>
      </c>
      <c r="C20" s="16"/>
    </row>
    <row r="21" spans="1:4">
      <c r="A21" s="12" t="s">
        <v>45</v>
      </c>
      <c r="B21" s="21">
        <v>0</v>
      </c>
      <c r="C21" s="16"/>
    </row>
    <row r="22" spans="1:4">
      <c r="A22" s="10"/>
      <c r="B22" s="20"/>
      <c r="C22" s="16"/>
    </row>
    <row r="23" spans="1:4">
      <c r="A23" s="42" t="s">
        <v>46</v>
      </c>
      <c r="B23" s="42"/>
      <c r="C23" s="16"/>
    </row>
    <row r="24" spans="1:4">
      <c r="A24" s="12" t="s">
        <v>40</v>
      </c>
      <c r="B24" s="14" t="s">
        <v>65</v>
      </c>
      <c r="C24" s="16"/>
      <c r="D24" s="16" t="s">
        <v>65</v>
      </c>
    </row>
    <row r="25" spans="1:4">
      <c r="A25" s="12" t="s">
        <v>82</v>
      </c>
      <c r="B25" s="21">
        <v>0</v>
      </c>
      <c r="C25" s="16"/>
      <c r="D25" s="16" t="s">
        <v>68</v>
      </c>
    </row>
    <row r="26" spans="1:4">
      <c r="A26" s="12" t="s">
        <v>114</v>
      </c>
      <c r="B26" s="14">
        <v>0</v>
      </c>
      <c r="C26" s="10"/>
    </row>
    <row r="27" spans="1:4">
      <c r="A27" s="12" t="s">
        <v>115</v>
      </c>
      <c r="B27" s="21">
        <v>0</v>
      </c>
      <c r="C27" s="10"/>
    </row>
    <row r="28" spans="1:4">
      <c r="A28" s="12"/>
      <c r="B28" s="21"/>
      <c r="C28" s="10"/>
    </row>
    <row r="29" spans="1:4">
      <c r="A29" s="10"/>
      <c r="B29" s="20"/>
      <c r="C29" s="10"/>
    </row>
    <row r="30" spans="1:4">
      <c r="A30" s="42" t="s">
        <v>66</v>
      </c>
      <c r="B30" s="42"/>
      <c r="C30" s="13"/>
    </row>
    <row r="31" spans="1:4">
      <c r="A31" s="12" t="s">
        <v>47</v>
      </c>
      <c r="B31" s="22">
        <v>0.2</v>
      </c>
    </row>
    <row r="32" spans="1:4">
      <c r="A32" s="12" t="s">
        <v>48</v>
      </c>
      <c r="B32" s="22">
        <v>0.2</v>
      </c>
    </row>
    <row r="33" spans="1:4">
      <c r="A33" s="12" t="s">
        <v>49</v>
      </c>
      <c r="B33" s="22">
        <v>0.2</v>
      </c>
      <c r="D33"/>
    </row>
    <row r="34" spans="1:4">
      <c r="A34" s="12" t="s">
        <v>50</v>
      </c>
      <c r="B34" s="22">
        <v>0.2</v>
      </c>
      <c r="D34"/>
    </row>
    <row r="35" spans="1:4">
      <c r="A35" s="12" t="s">
        <v>51</v>
      </c>
      <c r="B35" s="22">
        <v>0.2</v>
      </c>
      <c r="D35"/>
    </row>
    <row r="36" spans="1:4">
      <c r="A36" s="12" t="s">
        <v>52</v>
      </c>
      <c r="B36" s="22">
        <v>0</v>
      </c>
      <c r="D36"/>
    </row>
    <row r="37" spans="1:4">
      <c r="A37" s="10"/>
      <c r="B37" s="23"/>
      <c r="C37" s="10"/>
      <c r="D37"/>
    </row>
    <row r="38" spans="1:4">
      <c r="A38" s="42" t="s">
        <v>113</v>
      </c>
      <c r="B38" s="42"/>
    </row>
    <row r="39" spans="1:4">
      <c r="A39" s="12" t="s">
        <v>116</v>
      </c>
      <c r="B39" s="19">
        <v>0.13</v>
      </c>
    </row>
    <row r="40" spans="1:4">
      <c r="A40" s="12" t="s">
        <v>117</v>
      </c>
      <c r="B40" s="19">
        <v>0.16</v>
      </c>
    </row>
    <row r="41" spans="1:4">
      <c r="A41" s="12" t="s">
        <v>118</v>
      </c>
      <c r="B41" s="19">
        <v>0.27</v>
      </c>
    </row>
    <row r="42" spans="1:4">
      <c r="A42" s="12" t="s">
        <v>119</v>
      </c>
      <c r="B42" s="19">
        <v>0.31</v>
      </c>
    </row>
    <row r="43" spans="1:4">
      <c r="A43" s="12" t="s">
        <v>120</v>
      </c>
      <c r="B43" s="19">
        <v>0.31</v>
      </c>
    </row>
    <row r="44" spans="1:4">
      <c r="A44" s="12" t="s">
        <v>121</v>
      </c>
      <c r="B44" s="19">
        <v>3.5000000000000003E-2</v>
      </c>
    </row>
  </sheetData>
  <mergeCells count="6"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B33" sqref="B33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55</v>
      </c>
      <c r="B1" s="15">
        <v>5.9380000000000002E-2</v>
      </c>
    </row>
    <row r="2" spans="1:2">
      <c r="A2" s="1" t="s">
        <v>56</v>
      </c>
      <c r="B2" s="15">
        <v>8.2049999999999998E-2</v>
      </c>
    </row>
    <row r="3" spans="1:2">
      <c r="A3" s="1" t="s">
        <v>57</v>
      </c>
      <c r="B3" s="15">
        <v>3.1620000000000002E-2</v>
      </c>
    </row>
    <row r="4" spans="1:2">
      <c r="A4" s="1" t="s">
        <v>58</v>
      </c>
      <c r="B4" s="15">
        <v>4.9549999999999997E-2</v>
      </c>
    </row>
    <row r="5" spans="1:2">
      <c r="A5" s="1" t="s">
        <v>59</v>
      </c>
      <c r="B5" s="15">
        <v>3.7810000000000003E-2</v>
      </c>
    </row>
    <row r="6" spans="1:2">
      <c r="A6" s="1" t="s">
        <v>83</v>
      </c>
      <c r="B6" s="15">
        <v>2743400485</v>
      </c>
    </row>
    <row r="7" spans="1:2">
      <c r="A7" s="29"/>
      <c r="B7" s="15"/>
    </row>
    <row r="8" spans="1:2">
      <c r="A8" s="29"/>
      <c r="B8" s="15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Climates, Rates, Adoption Model</vt:lpstr>
      <vt:lpstr>Category_Names</vt:lpstr>
      <vt:lpstr>PV Parameters</vt:lpstr>
      <vt:lpstr>Tariff Structures</vt:lpstr>
      <vt:lpstr>Utility 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2013-11-23T22:02:21Z</dcterms:modified>
</cp:coreProperties>
</file>