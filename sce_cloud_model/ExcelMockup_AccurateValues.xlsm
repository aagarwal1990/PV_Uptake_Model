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/>
  </bookViews>
  <sheets>
    <sheet name="Executive_Summary" sheetId="8" r:id="rId1"/>
    <sheet name="PV_Parameters" sheetId="4" r:id="rId2"/>
    <sheet name="Category_Names" sheetId="5" r:id="rId3"/>
    <sheet name="Utility_Costs" sheetId="9" r:id="rId4"/>
    <sheet name="Adoption_Model" sheetId="2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6" i="8" l="1"/>
  <c r="C49" i="8"/>
  <c r="C48" i="8"/>
  <c r="C32" i="8"/>
  <c r="C33" i="8"/>
  <c r="C34" i="8"/>
  <c r="C35" i="8"/>
  <c r="C36" i="8"/>
  <c r="C31" i="8"/>
  <c r="A5" i="5"/>
  <c r="K9" i="5"/>
  <c r="K10" i="5"/>
  <c r="K11" i="5"/>
  <c r="K8" i="5"/>
  <c r="J10" i="5"/>
  <c r="J11" i="5"/>
  <c r="C11" i="5"/>
  <c r="C5" i="5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6" i="4"/>
  <c r="B6" i="9"/>
  <c r="A2" i="5"/>
</calcChain>
</file>

<file path=xl/sharedStrings.xml><?xml version="1.0" encoding="utf-8"?>
<sst xmlns="http://schemas.openxmlformats.org/spreadsheetml/2006/main" count="165" uniqueCount="135">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</sst>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</fills>
  <borders count="1">
    <border>
      <left/>
      <right/>
      <top/>
      <bottom/>
      <diagonal/>
    </border>
  </borders>
  <cellStyleXfs count="22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</cellXfs>
  <cellStyles count="2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58"/>
  <sheetViews>
    <sheetView tabSelected="1" topLeftCell="A5" workbookViewId="0">
      <selection activeCell="I48" sqref="I48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6" max="6" width="11.33203125" bestFit="1" customWidth="1"/>
  </cols>
  <sheetData>
    <row r="1" spans="1:4">
      <c r="A1" s="51" t="s">
        <v>40</v>
      </c>
      <c r="B1" s="51"/>
      <c r="C1" s="24"/>
    </row>
    <row r="2" spans="1:4">
      <c r="A2" s="9" t="s">
        <v>59</v>
      </c>
      <c r="B2" s="12">
        <v>4</v>
      </c>
      <c r="C2" s="14"/>
      <c r="D2" s="14">
        <v>1</v>
      </c>
    </row>
    <row r="3" spans="1:4">
      <c r="A3" s="10" t="s">
        <v>52</v>
      </c>
      <c r="B3" s="16">
        <v>0.01</v>
      </c>
      <c r="C3" s="15"/>
      <c r="D3" s="14">
        <v>2</v>
      </c>
    </row>
    <row r="4" spans="1:4">
      <c r="A4" s="10" t="s">
        <v>53</v>
      </c>
      <c r="B4" s="16">
        <v>0.01</v>
      </c>
      <c r="C4" s="15"/>
      <c r="D4" s="14">
        <v>3</v>
      </c>
    </row>
    <row r="5" spans="1:4">
      <c r="A5" s="10" t="s">
        <v>78</v>
      </c>
      <c r="B5" s="32">
        <v>0.04</v>
      </c>
      <c r="C5" s="15"/>
      <c r="D5" s="14">
        <v>4</v>
      </c>
    </row>
    <row r="6" spans="1:4">
      <c r="A6" s="10" t="s">
        <v>79</v>
      </c>
      <c r="B6" s="32">
        <v>0</v>
      </c>
      <c r="C6" s="15"/>
      <c r="D6" s="14">
        <v>5</v>
      </c>
    </row>
    <row r="7" spans="1:4">
      <c r="A7" s="10" t="s">
        <v>108</v>
      </c>
      <c r="B7" s="30">
        <v>0</v>
      </c>
      <c r="C7" s="15"/>
      <c r="D7" s="14" t="s">
        <v>66</v>
      </c>
    </row>
    <row r="8" spans="1:4">
      <c r="A8" s="10" t="s">
        <v>109</v>
      </c>
      <c r="B8" s="30">
        <v>0</v>
      </c>
      <c r="C8" s="15"/>
    </row>
    <row r="9" spans="1:4">
      <c r="A9" s="10" t="s">
        <v>110</v>
      </c>
      <c r="B9" s="31">
        <v>0</v>
      </c>
      <c r="C9" s="15"/>
    </row>
    <row r="10" spans="1:4">
      <c r="A10" s="10" t="s">
        <v>111</v>
      </c>
      <c r="B10" s="31">
        <v>0</v>
      </c>
      <c r="C10" s="15"/>
    </row>
    <row r="11" spans="1:4">
      <c r="A11" s="8"/>
      <c r="B11" s="18"/>
      <c r="C11" s="14"/>
    </row>
    <row r="12" spans="1:4">
      <c r="A12" s="51" t="s">
        <v>41</v>
      </c>
      <c r="B12" s="51"/>
      <c r="C12" s="14"/>
    </row>
    <row r="13" spans="1:4">
      <c r="A13" s="10" t="s">
        <v>80</v>
      </c>
      <c r="B13" s="16">
        <v>0.55000000000000004</v>
      </c>
      <c r="C13" s="14"/>
    </row>
    <row r="14" spans="1:4">
      <c r="A14" s="9" t="s">
        <v>60</v>
      </c>
      <c r="B14" s="16">
        <v>1</v>
      </c>
      <c r="C14" s="14"/>
    </row>
    <row r="15" spans="1:4">
      <c r="A15" s="9" t="s">
        <v>61</v>
      </c>
      <c r="B15" s="16">
        <v>1.3</v>
      </c>
      <c r="C15" s="14"/>
    </row>
    <row r="16" spans="1:4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1" t="s">
        <v>42</v>
      </c>
      <c r="B19" s="51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1" t="s">
        <v>45</v>
      </c>
      <c r="B23" s="51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1" t="s">
        <v>65</v>
      </c>
      <c r="B30" s="51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1" t="s">
        <v>112</v>
      </c>
      <c r="B38" s="51"/>
    </row>
    <row r="39" spans="1:6">
      <c r="A39" s="10" t="s">
        <v>115</v>
      </c>
      <c r="B39" s="17">
        <v>0.13</v>
      </c>
    </row>
    <row r="40" spans="1:6">
      <c r="A40" s="10" t="s">
        <v>116</v>
      </c>
      <c r="B40" s="17">
        <v>0.16</v>
      </c>
    </row>
    <row r="41" spans="1:6">
      <c r="A41" s="10" t="s">
        <v>117</v>
      </c>
      <c r="B41" s="17">
        <v>0.27</v>
      </c>
    </row>
    <row r="42" spans="1:6">
      <c r="A42" s="10" t="s">
        <v>118</v>
      </c>
      <c r="B42" s="17">
        <v>0.31</v>
      </c>
    </row>
    <row r="43" spans="1:6">
      <c r="A43" s="10" t="s">
        <v>119</v>
      </c>
      <c r="B43" s="17">
        <v>0.31</v>
      </c>
    </row>
    <row r="44" spans="1:6">
      <c r="A44" s="10" t="s">
        <v>120</v>
      </c>
      <c r="B44" s="17">
        <v>3.5000000000000003E-2</v>
      </c>
    </row>
    <row r="46" spans="1:6">
      <c r="A46" s="51" t="s">
        <v>121</v>
      </c>
      <c r="B46" s="51"/>
    </row>
    <row r="47" spans="1:6">
      <c r="A47" s="10" t="s">
        <v>122</v>
      </c>
      <c r="B47" s="17">
        <v>7130</v>
      </c>
    </row>
    <row r="48" spans="1:6">
      <c r="A48" s="10" t="s">
        <v>123</v>
      </c>
      <c r="B48" s="43">
        <v>0.05</v>
      </c>
      <c r="C48" t="str">
        <f xml:space="preserve"> IF(OR(B48 &gt;100%, B48 &lt; 0%), Check_btw_100percent(), "")</f>
        <v/>
      </c>
    </row>
    <row r="49" spans="1:4">
      <c r="A49" s="10" t="s">
        <v>125</v>
      </c>
      <c r="B49" s="46">
        <v>0.3</v>
      </c>
      <c r="C49" t="str">
        <f xml:space="preserve"> IF(OR(B49 &gt;100%, B49 &lt; 0%), Check_btw_100percent(), "")</f>
        <v/>
      </c>
    </row>
    <row r="50" spans="1:4">
      <c r="A50" s="45" t="s">
        <v>124</v>
      </c>
      <c r="B50" s="47">
        <v>2013</v>
      </c>
      <c r="D50"/>
    </row>
    <row r="51" spans="1:4">
      <c r="A51" s="44" t="s">
        <v>126</v>
      </c>
      <c r="B51" s="47">
        <v>2016</v>
      </c>
      <c r="D51"/>
    </row>
    <row r="53" spans="1:4">
      <c r="A53" s="51" t="s">
        <v>127</v>
      </c>
      <c r="B53" s="51"/>
    </row>
    <row r="54" spans="1:4">
      <c r="A54" s="10" t="s">
        <v>128</v>
      </c>
      <c r="B54" s="48">
        <v>4116775</v>
      </c>
    </row>
    <row r="55" spans="1:4">
      <c r="A55" s="10" t="s">
        <v>129</v>
      </c>
      <c r="B55" s="13">
        <v>2743400485</v>
      </c>
      <c r="D55"/>
    </row>
    <row r="56" spans="1:4">
      <c r="A56" s="10" t="s">
        <v>132</v>
      </c>
      <c r="B56" s="46">
        <v>0.3</v>
      </c>
      <c r="C56" t="str">
        <f xml:space="preserve"> IF(OR(B56 &gt;100%, B56 &lt; 0%), Check_btw_100percent(), "")</f>
        <v/>
      </c>
      <c r="D56"/>
    </row>
    <row r="57" spans="1:4">
      <c r="B57"/>
      <c r="D57"/>
    </row>
    <row r="58" spans="1:4">
      <c r="B58"/>
      <c r="D58"/>
    </row>
  </sheetData>
  <mergeCells count="8">
    <mergeCell ref="A46:B46"/>
    <mergeCell ref="A53:B53"/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9"/>
  <sheetViews>
    <sheetView zoomScale="75" zoomScaleNormal="75" zoomScalePageLayoutView="75" workbookViewId="0">
      <selection activeCell="C19" sqref="C19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IF(AND(Executive_Summary!$B$50 &lt;= B2, Executive_Summary!$B$51&gt;= B2), B6 *(1 - Executive_Summary!$B$49), B6)</f>
        <v>4991</v>
      </c>
      <c r="C3">
        <f xml:space="preserve"> IF(AND(Executive_Summary!$B$50 &lt;= C2, Executive_Summary!$B$51&gt;= C2), C6 *(1 - Executive_Summary!$B$49), C6)</f>
        <v>4741.45</v>
      </c>
      <c r="D3">
        <f xml:space="preserve"> IF(AND(Executive_Summary!$B$50 &lt;= D2, Executive_Summary!$B$51&gt;= D2), D6 *(1 - Executive_Summary!$B$49), D6)</f>
        <v>4504.3774999999996</v>
      </c>
      <c r="E3">
        <f xml:space="preserve"> IF(AND(Executive_Summary!$B$50 &lt;= E2, Executive_Summary!$B$51&gt;= E2), E6 *(1 - Executive_Summary!$B$49), E6)</f>
        <v>4279.158625</v>
      </c>
      <c r="F3">
        <f xml:space="preserve"> IF(AND(Executive_Summary!$B$50 &lt;= F2, Executive_Summary!$B$51&gt;= F2), F6 *(1 - Executive_Summary!$B$49), F6)</f>
        <v>5807.4295624999995</v>
      </c>
      <c r="G3">
        <f xml:space="preserve"> IF(AND(Executive_Summary!$B$50 &lt;= G2, Executive_Summary!$B$51&gt;= G2), G6 *(1 - Executive_Summary!$B$49), G6)</f>
        <v>5517.0580843749995</v>
      </c>
      <c r="H3">
        <f xml:space="preserve"> IF(AND(Executive_Summary!$B$50 &lt;= H2, Executive_Summary!$B$51&gt;= H2), H6 *(1 - Executive_Summary!$B$49), H6)</f>
        <v>5241.2051801562493</v>
      </c>
      <c r="I3">
        <f xml:space="preserve"> IF(AND(Executive_Summary!$B$50 &lt;= I2, Executive_Summary!$B$51&gt;= I2), I6 *(1 - Executive_Summary!$B$49), I6)</f>
        <v>4979.1449211484369</v>
      </c>
      <c r="J3">
        <f xml:space="preserve"> IF(AND(Executive_Summary!$B$50 &lt;= J2, Executive_Summary!$B$51&gt;= J2), J6 *(1 - Executive_Summary!$B$49), J6)</f>
        <v>4730.1876750910151</v>
      </c>
      <c r="K3">
        <f xml:space="preserve"> IF(AND(Executive_Summary!$B$50 &lt;= K2, Executive_Summary!$B$51&gt;= K2), K6 *(1 - Executive_Summary!$B$49), K6)</f>
        <v>4493.6782913364641</v>
      </c>
      <c r="L3">
        <f xml:space="preserve"> IF(AND(Executive_Summary!$B$50 &lt;= L2, Executive_Summary!$B$51&gt;= L2), L6 *(1 - Executive_Summary!$B$49), L6)</f>
        <v>4268.9943767696404</v>
      </c>
      <c r="M3">
        <f xml:space="preserve"> IF(AND(Executive_Summary!$B$50 &lt;= M2, Executive_Summary!$B$51&gt;= M2), M6 *(1 - Executive_Summary!$B$49), M6)</f>
        <v>4055.5446579311583</v>
      </c>
      <c r="N3">
        <f xml:space="preserve"> IF(AND(Executive_Summary!$B$50 &lt;= N2, Executive_Summary!$B$51&gt;= N2), N6 *(1 - Executive_Summary!$B$49), N6)</f>
        <v>3852.7674250346004</v>
      </c>
      <c r="O3">
        <f xml:space="preserve"> IF(AND(Executive_Summary!$B$50 &lt;= O2, Executive_Summary!$B$51&gt;= O2), O6 *(1 - Executive_Summary!$B$49), O6)</f>
        <v>3660.12905378287</v>
      </c>
      <c r="P3">
        <f xml:space="preserve"> IF(AND(Executive_Summary!$B$50 &lt;= P2, Executive_Summary!$B$51&gt;= P2), P6 *(1 - Executive_Summary!$B$49), P6)</f>
        <v>3477.1226010937262</v>
      </c>
      <c r="Q3">
        <f xml:space="preserve"> IF(AND(Executive_Summary!$B$50 &lt;= Q2, Executive_Summary!$B$51&gt;= Q2), Q6 *(1 - Executive_Summary!$B$49), Q6)</f>
        <v>3303.2664710390395</v>
      </c>
      <c r="R3">
        <f xml:space="preserve"> IF(AND(Executive_Summary!$B$50 &lt;= R2, Executive_Summary!$B$51&gt;= R2), R6 *(1 - Executive_Summary!$B$49), R6)</f>
        <v>3138.1031474870874</v>
      </c>
      <c r="S3">
        <f xml:space="preserve"> IF(AND(Executive_Summary!$B$50 &lt;= S2, Executive_Summary!$B$51&gt;= S2), S6 *(1 - Executive_Summary!$B$49), S6)</f>
        <v>2981.1979901127329</v>
      </c>
      <c r="T3">
        <f xml:space="preserve"> IF(AND(Executive_Summary!$B$50 &lt;= T2, Executive_Summary!$B$51&gt;= T2), T6 *(1 - Executive_Summary!$B$49), T6)</f>
        <v>2832.1380906070963</v>
      </c>
      <c r="U3">
        <f xml:space="preserve"> IF(AND(Executive_Summary!$B$50 &lt;= U2, Executive_Summary!$B$51&gt;= U2), U6 *(1 - Executive_Summary!$B$49),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Executive_Summary!B47</f>
        <v>7130</v>
      </c>
      <c r="C6">
        <f xml:space="preserve"> B6 *(1 - Executive_Summary!$B$48)</f>
        <v>6773.5</v>
      </c>
      <c r="D6">
        <f xml:space="preserve"> C6 *(1 - Executive_Summary!$B$48)</f>
        <v>6434.8249999999998</v>
      </c>
      <c r="E6">
        <f xml:space="preserve"> D6 *(1 - Executive_Summary!$B$48)</f>
        <v>6113.0837499999998</v>
      </c>
      <c r="F6">
        <f xml:space="preserve"> E6 *(1 - Executive_Summary!$B$48)</f>
        <v>5807.4295624999995</v>
      </c>
      <c r="G6">
        <f xml:space="preserve"> F6 *(1 - Executive_Summary!$B$48)</f>
        <v>5517.0580843749995</v>
      </c>
      <c r="H6">
        <f xml:space="preserve"> G6 *(1 - Executive_Summary!$B$48)</f>
        <v>5241.2051801562493</v>
      </c>
      <c r="I6">
        <f xml:space="preserve"> H6 *(1 - Executive_Summary!$B$48)</f>
        <v>4979.1449211484369</v>
      </c>
      <c r="J6">
        <f xml:space="preserve"> I6 *(1 - Executive_Summary!$B$48)</f>
        <v>4730.1876750910151</v>
      </c>
      <c r="K6">
        <f xml:space="preserve"> J6 *(1 - Executive_Summary!$B$48)</f>
        <v>4493.6782913364641</v>
      </c>
      <c r="L6">
        <f xml:space="preserve"> K6 *(1 - Executive_Summary!$B$48)</f>
        <v>4268.9943767696404</v>
      </c>
      <c r="M6">
        <f xml:space="preserve"> L6 *(1 - Executive_Summary!$B$48)</f>
        <v>4055.5446579311583</v>
      </c>
      <c r="N6">
        <f xml:space="preserve"> M6 *(1 - Executive_Summary!$B$48)</f>
        <v>3852.7674250346004</v>
      </c>
      <c r="O6">
        <f xml:space="preserve"> N6 *(1 - Executive_Summary!$B$48)</f>
        <v>3660.12905378287</v>
      </c>
      <c r="P6">
        <f xml:space="preserve"> O6 *(1 - Executive_Summary!$B$48)</f>
        <v>3477.1226010937262</v>
      </c>
      <c r="Q6">
        <f xml:space="preserve"> P6 *(1 - Executive_Summary!$B$48)</f>
        <v>3303.2664710390395</v>
      </c>
      <c r="R6">
        <f xml:space="preserve"> Q6 *(1 - Executive_Summary!$B$48)</f>
        <v>3138.1031474870874</v>
      </c>
      <c r="S6">
        <f xml:space="preserve"> R6 *(1 - Executive_Summary!$B$48)</f>
        <v>2981.1979901127329</v>
      </c>
      <c r="T6">
        <f xml:space="preserve"> S6 *(1 - Executive_Summary!$B$48)</f>
        <v>2832.1380906070963</v>
      </c>
      <c r="U6">
        <f xml:space="preserve"> T6 *(1 - Executive_Summary!$B$48)</f>
        <v>2690.5311860767415</v>
      </c>
    </row>
    <row r="8" spans="1:21" ht="30">
      <c r="A8" s="29" t="s">
        <v>107</v>
      </c>
    </row>
    <row r="9" spans="1:21">
      <c r="A9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11"/>
  <sheetViews>
    <sheetView workbookViewId="0">
      <selection activeCell="D6" sqref="D6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</cols>
  <sheetData>
    <row r="1" spans="1:11">
      <c r="A1" s="28" t="s">
        <v>105</v>
      </c>
    </row>
    <row r="2" spans="1:11">
      <c r="A2" s="33">
        <f xml:space="preserve"> Executive_Summary!B54</f>
        <v>4116775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52" t="s">
        <v>103</v>
      </c>
      <c r="B6" s="53"/>
      <c r="C6" s="53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E32" sqref="E32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Executive_Summary!B55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D81" sqref="D81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53.5" bestFit="1" customWidth="1"/>
    <col min="5" max="5" width="27.6640625" bestFit="1" customWidth="1"/>
    <col min="6" max="6" width="22.33203125" bestFit="1" customWidth="1"/>
    <col min="7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0.13139999999999999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PV_Parameters</vt:lpstr>
      <vt:lpstr>Category_Names</vt:lpstr>
      <vt:lpstr>Utility_Costs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2014-01-21T20:42:36Z</dcterms:modified>
</cp:coreProperties>
</file>