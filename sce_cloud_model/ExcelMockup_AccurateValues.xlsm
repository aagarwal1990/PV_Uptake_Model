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0" yWindow="0" windowWidth="25600" windowHeight="14060" tabRatio="861" activeTab="2"/>
  </bookViews>
  <sheets>
    <sheet name="Executive_Summary" sheetId="8" r:id="rId1"/>
    <sheet name="PV_Parameters" sheetId="4" r:id="rId2"/>
    <sheet name="Category_Names" sheetId="5" r:id="rId3"/>
    <sheet name="Utility_Costs" sheetId="9" r:id="rId4"/>
    <sheet name="Adoption_Model" sheetId="2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6" i="8" l="1"/>
  <c r="C49" i="8"/>
  <c r="C48" i="8"/>
  <c r="C32" i="8"/>
  <c r="C33" i="8"/>
  <c r="C34" i="8"/>
  <c r="C35" i="8"/>
  <c r="C36" i="8"/>
  <c r="C31" i="8"/>
  <c r="A5" i="5"/>
  <c r="K9" i="5"/>
  <c r="K10" i="5"/>
  <c r="K11" i="5"/>
  <c r="K8" i="5"/>
  <c r="J10" i="5"/>
  <c r="J11" i="5"/>
  <c r="C11" i="5"/>
  <c r="C5" i="5"/>
  <c r="C6" i="4"/>
  <c r="C3" i="4"/>
  <c r="D6" i="4"/>
  <c r="D3" i="4"/>
  <c r="E6" i="4"/>
  <c r="E3" i="4"/>
  <c r="F6" i="4"/>
  <c r="F3" i="4"/>
  <c r="G6" i="4"/>
  <c r="G3" i="4"/>
  <c r="H6" i="4"/>
  <c r="H3" i="4"/>
  <c r="I6" i="4"/>
  <c r="I3" i="4"/>
  <c r="J6" i="4"/>
  <c r="J3" i="4"/>
  <c r="K6" i="4"/>
  <c r="K3" i="4"/>
  <c r="L6" i="4"/>
  <c r="L3" i="4"/>
  <c r="M6" i="4"/>
  <c r="M3" i="4"/>
  <c r="N6" i="4"/>
  <c r="N3" i="4"/>
  <c r="O6" i="4"/>
  <c r="O3" i="4"/>
  <c r="P6" i="4"/>
  <c r="P3" i="4"/>
  <c r="Q6" i="4"/>
  <c r="Q3" i="4"/>
  <c r="R6" i="4"/>
  <c r="R3" i="4"/>
  <c r="S6" i="4"/>
  <c r="S3" i="4"/>
  <c r="T6" i="4"/>
  <c r="T3" i="4"/>
  <c r="U6" i="4"/>
  <c r="U3" i="4"/>
  <c r="B3" i="4"/>
  <c r="B6" i="4"/>
  <c r="B6" i="9"/>
  <c r="A2" i="5"/>
</calcChain>
</file>

<file path=xl/sharedStrings.xml><?xml version="1.0" encoding="utf-8"?>
<sst xmlns="http://schemas.openxmlformats.org/spreadsheetml/2006/main" count="165" uniqueCount="135">
  <si>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</si>
  <si>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</si>
  <si>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</si>
  <si>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</si>
  <si>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</si>
  <si>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</si>
  <si>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</si>
  <si>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</si>
  <si>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</si>
  <si>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</si>
  <si>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</si>
  <si>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</si>
  <si>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</si>
  <si>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</si>
  <si>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</si>
  <si>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</si>
  <si>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</si>
  <si>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</si>
  <si>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</si>
  <si>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</si>
  <si>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</si>
  <si>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</si>
  <si>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</si>
  <si>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</si>
  <si>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</si>
  <si>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</si>
  <si>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</si>
  <si>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</si>
  <si>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</si>
  <si>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</si>
  <si>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</si>
  <si>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</si>
  <si>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</si>
  <si>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</si>
  <si>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</si>
  <si>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</si>
  <si>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</si>
  <si>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</si>
  <si>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</si>
  <si>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</si>
  <si>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</si>
  <si>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</si>
  <si>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</si>
  <si>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</si>
  <si>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</si>
  <si>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</si>
  <si>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</si>
  <si>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</si>
  <si>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</si>
  <si>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</si>
  <si>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</si>
  <si>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</si>
  <si>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</si>
  <si>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</si>
  <si>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</si>
  <si>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</si>
  <si>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</si>
  <si>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</si>
  <si>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</si>
  <si>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</si>
  <si>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</si>
  <si>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</si>
  <si>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</si>
  <si>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</si>
  <si>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</si>
  <si>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</si>
  <si>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</si>
  <si>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</si>
  <si>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</si>
  <si>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</si>
  <si>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</si>
  <si>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</si>
  <si>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</si>
  <si>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</si>
  <si>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</si>
  <si>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</si>
  <si>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</si>
  <si>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</si>
  <si>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</si>
  <si>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</si>
  <si>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</si>
  <si>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</si>
  <si>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</si>
  <si>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</si>
  <si>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</si>
  <si>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</si>
  <si>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</si>
  <si>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</si>
  <si>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</si>
  <si>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</si>
  <si>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</si>
  <si>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</si>
  <si>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</si>
  <si>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</si>
  <si>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</si>
  <si>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</si>
  <si>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</si>
  <si>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</si>
  <si>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</si>
  <si>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</si>
  <si>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</si>
  <si>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</si>
  <si>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</si>
  <si>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</si>
  <si>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</si>
  <si>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</si>
  <si>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</si>
  <si>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</si>
  <si>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</si>
  <si>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</si>
  <si>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</si>
  <si>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</si>
  <si>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</si>
  <si>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</si>
  <si>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</si>
  <si>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</si>
  <si>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</si>
  <si>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</si>
  <si>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</si>
  <si>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</si>
  <si>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</si>
  <si>
    <t>PV Rates</t>
  </si>
  <si>
    <t>2013 Price of PV ($/kW)</t>
  </si>
  <si>
    <t>Percentage Annual PV Drop in Price (%)</t>
  </si>
  <si>
    <t>Start Year</t>
  </si>
  <si>
    <t>PV Subsidy (%)</t>
  </si>
  <si>
    <t>End year</t>
  </si>
  <si>
    <t>Utility Service Region</t>
  </si>
  <si>
    <t>Total Customers Served</t>
  </si>
  <si>
    <t>Annual Revenue Requirement ($)</t>
  </si>
  <si>
    <t>Cost of PV per kW ($)</t>
  </si>
  <si>
    <t>Cost of PV without Subsidy ($)</t>
  </si>
  <si>
    <t>Customers Ineligible for PV due to Shading  (%)</t>
  </si>
  <si>
    <t>Sum Aggregate Percentage</t>
  </si>
  <si>
    <t>Sum Percentage per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</si>
</sst>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  <numFmt numFmtId="169" formatCode="0.000%"/>
    <numFmt numFmtId="170" formatCode="0.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</font>
    <font>
      <b/>
      <sz val="12"/>
      <color rgb="FFFF0000"/>
      <name val="Calibri"/>
      <scheme val="minor"/>
    </font>
    <font>
      <b/>
      <sz val="12"/>
      <name val="Calibri"/>
      <scheme val="minor"/>
    </font>
    <font>
      <b/>
      <sz val="12"/>
      <color rgb="FF000000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rgb="FF000000"/>
      </patternFill>
    </fill>
  </fills>
  <borders count="1">
    <border>
      <left/>
      <right/>
      <top/>
      <bottom/>
      <diagonal/>
    </border>
  </borders>
  <cellStyleXfs count="22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1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6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1" fillId="7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6" borderId="0" xfId="0" applyFont="1" applyFill="1"/>
    <xf numFmtId="0" fontId="1" fillId="4" borderId="0" xfId="0" applyFont="1" applyFill="1"/>
    <xf numFmtId="0" fontId="8" fillId="9" borderId="0" xfId="0" applyFont="1" applyFill="1"/>
    <xf numFmtId="169" fontId="0" fillId="0" borderId="0" xfId="0" applyNumberFormat="1" applyBorder="1" applyAlignment="1">
      <alignment horizontal="left"/>
    </xf>
    <xf numFmtId="170" fontId="0" fillId="2" borderId="0" xfId="0" applyNumberFormat="1" applyFill="1"/>
    <xf numFmtId="0" fontId="0" fillId="2" borderId="0" xfId="0" applyFont="1" applyFill="1"/>
    <xf numFmtId="169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 applyProtection="1">
      <alignment horizontal="left"/>
    </xf>
    <xf numFmtId="0" fontId="9" fillId="0" borderId="0" xfId="0" applyFont="1"/>
    <xf numFmtId="0" fontId="5" fillId="10" borderId="0" xfId="0" applyFont="1" applyFill="1" applyAlignment="1">
      <alignment wrapText="1"/>
    </xf>
    <xf numFmtId="0" fontId="1" fillId="3" borderId="0" xfId="0" applyFont="1" applyFill="1" applyBorder="1" applyAlignment="1">
      <alignment horizontal="center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</cellXfs>
  <cellStyles count="2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58"/>
  <sheetViews>
    <sheetView topLeftCell="A27" workbookViewId="0">
      <selection activeCell="I48" sqref="I48"/>
    </sheetView>
  </sheetViews>
  <sheetFormatPr baseColWidth="10" defaultColWidth="8.83203125" defaultRowHeight="15" x14ac:dyDescent="0"/>
  <cols>
    <col min="1" max="1" width="39.33203125" bestFit="1" customWidth="1"/>
    <col min="2" max="2" width="19.6640625" style="7" bestFit="1" customWidth="1"/>
    <col min="3" max="3" width="11.6640625" customWidth="1"/>
    <col min="4" max="4" width="10.33203125" style="14" hidden="1" customWidth="1"/>
    <col min="6" max="6" width="11.33203125" bestFit="1" customWidth="1"/>
  </cols>
  <sheetData>
    <row r="1" spans="1:4">
      <c r="A1" s="51" t="s">
        <v>40</v>
      </c>
      <c r="B1" s="51"/>
      <c r="C1" s="24"/>
    </row>
    <row r="2" spans="1:4">
      <c r="A2" s="9" t="s">
        <v>59</v>
      </c>
      <c r="B2" s="12">
        <v>4</v>
      </c>
      <c r="C2" s="14"/>
      <c r="D2" s="14">
        <v>1</v>
      </c>
    </row>
    <row r="3" spans="1:4">
      <c r="A3" s="10" t="s">
        <v>52</v>
      </c>
      <c r="B3" s="16">
        <v>0.01</v>
      </c>
      <c r="C3" s="15"/>
      <c r="D3" s="14">
        <v>2</v>
      </c>
    </row>
    <row r="4" spans="1:4">
      <c r="A4" s="10" t="s">
        <v>53</v>
      </c>
      <c r="B4" s="16">
        <v>0.01</v>
      </c>
      <c r="C4" s="15"/>
      <c r="D4" s="14">
        <v>3</v>
      </c>
    </row>
    <row r="5" spans="1:4">
      <c r="A5" s="10" t="s">
        <v>78</v>
      </c>
      <c r="B5" s="32">
        <v>0.04</v>
      </c>
      <c r="C5" s="15"/>
      <c r="D5" s="14">
        <v>4</v>
      </c>
    </row>
    <row r="6" spans="1:4">
      <c r="A6" s="10" t="s">
        <v>79</v>
      </c>
      <c r="B6" s="32">
        <v>0</v>
      </c>
      <c r="C6" s="15"/>
      <c r="D6" s="14">
        <v>5</v>
      </c>
    </row>
    <row r="7" spans="1:4">
      <c r="A7" s="10" t="s">
        <v>108</v>
      </c>
      <c r="B7" s="30">
        <v>0</v>
      </c>
      <c r="C7" s="15"/>
      <c r="D7" s="14" t="s">
        <v>66</v>
      </c>
    </row>
    <row r="8" spans="1:4">
      <c r="A8" s="10" t="s">
        <v>109</v>
      </c>
      <c r="B8" s="30">
        <v>0</v>
      </c>
      <c r="C8" s="15"/>
    </row>
    <row r="9" spans="1:4">
      <c r="A9" s="10" t="s">
        <v>110</v>
      </c>
      <c r="B9" s="31">
        <v>0</v>
      </c>
      <c r="C9" s="15"/>
    </row>
    <row r="10" spans="1:4">
      <c r="A10" s="10" t="s">
        <v>111</v>
      </c>
      <c r="B10" s="31">
        <v>0</v>
      </c>
      <c r="C10" s="15"/>
    </row>
    <row r="11" spans="1:4">
      <c r="A11" s="8"/>
      <c r="B11" s="18"/>
      <c r="C11" s="14"/>
    </row>
    <row r="12" spans="1:4">
      <c r="A12" s="51" t="s">
        <v>41</v>
      </c>
      <c r="B12" s="51"/>
      <c r="C12" s="14"/>
    </row>
    <row r="13" spans="1:4">
      <c r="A13" s="10" t="s">
        <v>80</v>
      </c>
      <c r="B13" s="16">
        <v>0.55000000000000004</v>
      </c>
      <c r="C13" s="14"/>
    </row>
    <row r="14" spans="1:4">
      <c r="A14" s="9" t="s">
        <v>60</v>
      </c>
      <c r="B14" s="16">
        <v>1</v>
      </c>
      <c r="C14" s="14"/>
    </row>
    <row r="15" spans="1:4">
      <c r="A15" s="9" t="s">
        <v>61</v>
      </c>
      <c r="B15" s="16">
        <v>1.3</v>
      </c>
      <c r="C15" s="14"/>
    </row>
    <row r="16" spans="1:4">
      <c r="A16" s="9" t="s">
        <v>62</v>
      </c>
      <c r="B16" s="16">
        <v>2</v>
      </c>
      <c r="C16" s="22"/>
    </row>
    <row r="17" spans="1:6">
      <c r="A17" s="9" t="s">
        <v>63</v>
      </c>
      <c r="B17" s="16">
        <v>2</v>
      </c>
      <c r="C17" s="14"/>
    </row>
    <row r="18" spans="1:6">
      <c r="A18" s="8"/>
      <c r="B18" s="18"/>
      <c r="C18" s="14"/>
    </row>
    <row r="19" spans="1:6">
      <c r="A19" s="51" t="s">
        <v>42</v>
      </c>
      <c r="B19" s="51"/>
      <c r="C19" s="14"/>
    </row>
    <row r="20" spans="1:6">
      <c r="A20" s="10" t="s">
        <v>43</v>
      </c>
      <c r="B20" s="19">
        <v>0</v>
      </c>
      <c r="C20" s="14"/>
    </row>
    <row r="21" spans="1:6">
      <c r="A21" s="10" t="s">
        <v>44</v>
      </c>
      <c r="B21" s="19">
        <v>0</v>
      </c>
      <c r="C21" s="14"/>
    </row>
    <row r="22" spans="1:6">
      <c r="A22" s="8"/>
      <c r="B22" s="18"/>
      <c r="C22" s="14"/>
    </row>
    <row r="23" spans="1:6">
      <c r="A23" s="51" t="s">
        <v>45</v>
      </c>
      <c r="B23" s="51"/>
      <c r="C23" s="14"/>
    </row>
    <row r="24" spans="1:6">
      <c r="A24" s="10" t="s">
        <v>39</v>
      </c>
      <c r="B24" s="12" t="s">
        <v>64</v>
      </c>
      <c r="C24" s="14"/>
      <c r="D24" s="14" t="s">
        <v>64</v>
      </c>
    </row>
    <row r="25" spans="1:6">
      <c r="A25" s="10" t="s">
        <v>81</v>
      </c>
      <c r="B25" s="19">
        <v>0</v>
      </c>
      <c r="C25" s="14"/>
      <c r="D25" s="14" t="s">
        <v>67</v>
      </c>
    </row>
    <row r="26" spans="1:6">
      <c r="A26" s="10" t="s">
        <v>113</v>
      </c>
      <c r="B26" s="12">
        <v>0</v>
      </c>
      <c r="C26" s="8"/>
    </row>
    <row r="27" spans="1:6">
      <c r="A27" s="10" t="s">
        <v>114</v>
      </c>
      <c r="B27" s="19">
        <v>0</v>
      </c>
      <c r="C27" s="8"/>
    </row>
    <row r="28" spans="1:6">
      <c r="A28" s="10"/>
      <c r="B28" s="19"/>
      <c r="C28" s="8"/>
    </row>
    <row r="29" spans="1:6">
      <c r="A29" s="8"/>
      <c r="B29" s="18"/>
      <c r="C29" s="8"/>
    </row>
    <row r="30" spans="1:6">
      <c r="A30" s="51" t="s">
        <v>65</v>
      </c>
      <c r="B30" s="51"/>
      <c r="C30" s="11"/>
    </row>
    <row r="31" spans="1:6">
      <c r="A31" s="10" t="s">
        <v>46</v>
      </c>
      <c r="B31" s="34">
        <v>0.2</v>
      </c>
      <c r="C31" t="str">
        <f xml:space="preserve"> IF(OR(B31 &gt;100%, B31 &lt; 0%), Check_btw_100percent(), "")</f>
        <v/>
      </c>
      <c r="F31" s="34"/>
    </row>
    <row r="32" spans="1:6">
      <c r="A32" s="10" t="s">
        <v>47</v>
      </c>
      <c r="B32" s="34">
        <v>0.2</v>
      </c>
      <c r="C32" t="str">
        <f xml:space="preserve"> IF(OR(B32 &gt;100%, B32 &lt; 0%), Check_btw_100percent(), "")</f>
        <v/>
      </c>
      <c r="F32" s="34"/>
    </row>
    <row r="33" spans="1:6">
      <c r="A33" s="10" t="s">
        <v>48</v>
      </c>
      <c r="B33" s="34">
        <v>0.2</v>
      </c>
      <c r="C33" t="str">
        <f xml:space="preserve"> IF(OR(B33 &gt;100%, B33 &lt; 0%), Check_btw_100percent(), "")</f>
        <v/>
      </c>
      <c r="D33"/>
      <c r="F33" s="34"/>
    </row>
    <row r="34" spans="1:6">
      <c r="A34" s="10" t="s">
        <v>49</v>
      </c>
      <c r="B34" s="34">
        <v>0.2</v>
      </c>
      <c r="C34" t="str">
        <f xml:space="preserve"> IF(OR(B34 &gt;100%, B34 &lt; 0%), Check_btw_100percent(), "")</f>
        <v/>
      </c>
      <c r="D34"/>
      <c r="F34" s="34"/>
    </row>
    <row r="35" spans="1:6">
      <c r="A35" s="10" t="s">
        <v>50</v>
      </c>
      <c r="B35" s="34">
        <v>0.2</v>
      </c>
      <c r="C35" t="str">
        <f xml:space="preserve"> IF(OR(B35 &gt;100%, B35 &lt; 0%), Check_btw_100percent(), "")</f>
        <v/>
      </c>
      <c r="D35"/>
      <c r="F35" s="34"/>
    </row>
    <row r="36" spans="1:6">
      <c r="A36" s="10" t="s">
        <v>51</v>
      </c>
      <c r="B36" s="20">
        <v>0</v>
      </c>
      <c r="C36" t="str">
        <f xml:space="preserve"> IF(OR(B36 &gt;100%, B36 &lt; 0%), Check_btw_100percent(), "")</f>
        <v/>
      </c>
      <c r="D36"/>
    </row>
    <row r="37" spans="1:6">
      <c r="A37" s="8"/>
      <c r="B37" s="21"/>
      <c r="C37" s="8"/>
      <c r="D37"/>
    </row>
    <row r="38" spans="1:6">
      <c r="A38" s="51" t="s">
        <v>112</v>
      </c>
      <c r="B38" s="51"/>
    </row>
    <row r="39" spans="1:6">
      <c r="A39" s="10" t="s">
        <v>115</v>
      </c>
      <c r="B39" s="17">
        <v>0.13</v>
      </c>
    </row>
    <row r="40" spans="1:6">
      <c r="A40" s="10" t="s">
        <v>116</v>
      </c>
      <c r="B40" s="17">
        <v>0.16</v>
      </c>
    </row>
    <row r="41" spans="1:6">
      <c r="A41" s="10" t="s">
        <v>117</v>
      </c>
      <c r="B41" s="17">
        <v>0.27</v>
      </c>
    </row>
    <row r="42" spans="1:6">
      <c r="A42" s="10" t="s">
        <v>118</v>
      </c>
      <c r="B42" s="17">
        <v>0.31</v>
      </c>
    </row>
    <row r="43" spans="1:6">
      <c r="A43" s="10" t="s">
        <v>119</v>
      </c>
      <c r="B43" s="17">
        <v>0.31</v>
      </c>
    </row>
    <row r="44" spans="1:6">
      <c r="A44" s="10" t="s">
        <v>120</v>
      </c>
      <c r="B44" s="17">
        <v>3.5000000000000003E-2</v>
      </c>
    </row>
    <row r="46" spans="1:6">
      <c r="A46" s="51" t="s">
        <v>121</v>
      </c>
      <c r="B46" s="51"/>
    </row>
    <row r="47" spans="1:6">
      <c r="A47" s="10" t="s">
        <v>122</v>
      </c>
      <c r="B47" s="17">
        <v>7130</v>
      </c>
    </row>
    <row r="48" spans="1:6">
      <c r="A48" s="10" t="s">
        <v>123</v>
      </c>
      <c r="B48" s="43">
        <v>0.05</v>
      </c>
      <c r="C48" t="str">
        <f xml:space="preserve"> IF(OR(B48 &gt;100%, B48 &lt; 0%), Check_btw_100percent(), "")</f>
        <v/>
      </c>
    </row>
    <row r="49" spans="1:4">
      <c r="A49" s="10" t="s">
        <v>125</v>
      </c>
      <c r="B49" s="46">
        <v>0.3</v>
      </c>
      <c r="C49" t="str">
        <f xml:space="preserve"> IF(OR(B49 &gt;100%, B49 &lt; 0%), Check_btw_100percent(), "")</f>
        <v/>
      </c>
    </row>
    <row r="50" spans="1:4">
      <c r="A50" s="45" t="s">
        <v>124</v>
      </c>
      <c r="B50" s="47">
        <v>2013</v>
      </c>
      <c r="D50"/>
    </row>
    <row r="51" spans="1:4">
      <c r="A51" s="44" t="s">
        <v>126</v>
      </c>
      <c r="B51" s="47">
        <v>2016</v>
      </c>
      <c r="D51"/>
    </row>
    <row r="53" spans="1:4">
      <c r="A53" s="51" t="s">
        <v>127</v>
      </c>
      <c r="B53" s="51"/>
    </row>
    <row r="54" spans="1:4">
      <c r="A54" s="10" t="s">
        <v>128</v>
      </c>
      <c r="B54" s="48">
        <v>4116775</v>
      </c>
    </row>
    <row r="55" spans="1:4">
      <c r="A55" s="10" t="s">
        <v>129</v>
      </c>
      <c r="B55" s="13">
        <v>2743400485</v>
      </c>
      <c r="D55"/>
    </row>
    <row r="56" spans="1:4">
      <c r="A56" s="10" t="s">
        <v>132</v>
      </c>
      <c r="B56" s="46">
        <v>0.3</v>
      </c>
      <c r="C56" t="str">
        <f xml:space="preserve"> IF(OR(B56 &gt;100%, B56 &lt; 0%), Check_btw_100percent(), "")</f>
        <v/>
      </c>
      <c r="D56"/>
    </row>
    <row r="57" spans="1:4">
      <c r="B57"/>
      <c r="D57"/>
    </row>
    <row r="58" spans="1:4">
      <c r="B58"/>
      <c r="D58"/>
    </row>
  </sheetData>
  <mergeCells count="8">
    <mergeCell ref="A46:B46"/>
    <mergeCell ref="A53:B53"/>
    <mergeCell ref="A38:B38"/>
    <mergeCell ref="A1:B1"/>
    <mergeCell ref="A12:B12"/>
    <mergeCell ref="A19:B19"/>
    <mergeCell ref="A23:B23"/>
    <mergeCell ref="A30:B30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9"/>
  <sheetViews>
    <sheetView zoomScale="75" zoomScaleNormal="75" zoomScalePageLayoutView="75" workbookViewId="0">
      <selection activeCell="C19" sqref="C19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6" t="s">
        <v>130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3" t="s">
        <v>35</v>
      </c>
      <c r="B3">
        <f xml:space="preserve"> IF(AND(Executive_Summary!$B$50 &lt;= B2, Executive_Summary!$B$51&gt;= B2), B6 *(1 - Executive_Summary!$B$49), B6)</f>
        <v>4991</v>
      </c>
      <c r="C3">
        <f xml:space="preserve"> IF(AND(Executive_Summary!$B$50 &lt;= C2, Executive_Summary!$B$51&gt;= C2), C6 *(1 - Executive_Summary!$B$49), C6)</f>
        <v>4741.45</v>
      </c>
      <c r="D3">
        <f xml:space="preserve"> IF(AND(Executive_Summary!$B$50 &lt;= D2, Executive_Summary!$B$51&gt;= D2), D6 *(1 - Executive_Summary!$B$49), D6)</f>
        <v>4504.3774999999996</v>
      </c>
      <c r="E3">
        <f xml:space="preserve"> IF(AND(Executive_Summary!$B$50 &lt;= E2, Executive_Summary!$B$51&gt;= E2), E6 *(1 - Executive_Summary!$B$49), E6)</f>
        <v>4279.158625</v>
      </c>
      <c r="F3">
        <f xml:space="preserve"> IF(AND(Executive_Summary!$B$50 &lt;= F2, Executive_Summary!$B$51&gt;= F2), F6 *(1 - Executive_Summary!$B$49), F6)</f>
        <v>5807.4295624999995</v>
      </c>
      <c r="G3">
        <f xml:space="preserve"> IF(AND(Executive_Summary!$B$50 &lt;= G2, Executive_Summary!$B$51&gt;= G2), G6 *(1 - Executive_Summary!$B$49), G6)</f>
        <v>5517.0580843749995</v>
      </c>
      <c r="H3">
        <f xml:space="preserve"> IF(AND(Executive_Summary!$B$50 &lt;= H2, Executive_Summary!$B$51&gt;= H2), H6 *(1 - Executive_Summary!$B$49), H6)</f>
        <v>5241.2051801562493</v>
      </c>
      <c r="I3">
        <f xml:space="preserve"> IF(AND(Executive_Summary!$B$50 &lt;= I2, Executive_Summary!$B$51&gt;= I2), I6 *(1 - Executive_Summary!$B$49), I6)</f>
        <v>4979.1449211484369</v>
      </c>
      <c r="J3">
        <f xml:space="preserve"> IF(AND(Executive_Summary!$B$50 &lt;= J2, Executive_Summary!$B$51&gt;= J2), J6 *(1 - Executive_Summary!$B$49), J6)</f>
        <v>4730.1876750910151</v>
      </c>
      <c r="K3">
        <f xml:space="preserve"> IF(AND(Executive_Summary!$B$50 &lt;= K2, Executive_Summary!$B$51&gt;= K2), K6 *(1 - Executive_Summary!$B$49), K6)</f>
        <v>4493.6782913364641</v>
      </c>
      <c r="L3">
        <f xml:space="preserve"> IF(AND(Executive_Summary!$B$50 &lt;= L2, Executive_Summary!$B$51&gt;= L2), L6 *(1 - Executive_Summary!$B$49), L6)</f>
        <v>4268.9943767696404</v>
      </c>
      <c r="M3">
        <f xml:space="preserve"> IF(AND(Executive_Summary!$B$50 &lt;= M2, Executive_Summary!$B$51&gt;= M2), M6 *(1 - Executive_Summary!$B$49), M6)</f>
        <v>4055.5446579311583</v>
      </c>
      <c r="N3">
        <f xml:space="preserve"> IF(AND(Executive_Summary!$B$50 &lt;= N2, Executive_Summary!$B$51&gt;= N2), N6 *(1 - Executive_Summary!$B$49), N6)</f>
        <v>3852.7674250346004</v>
      </c>
      <c r="O3">
        <f xml:space="preserve"> IF(AND(Executive_Summary!$B$50 &lt;= O2, Executive_Summary!$B$51&gt;= O2), O6 *(1 - Executive_Summary!$B$49), O6)</f>
        <v>3660.12905378287</v>
      </c>
      <c r="P3">
        <f xml:space="preserve"> IF(AND(Executive_Summary!$B$50 &lt;= P2, Executive_Summary!$B$51&gt;= P2), P6 *(1 - Executive_Summary!$B$49), P6)</f>
        <v>3477.1226010937262</v>
      </c>
      <c r="Q3">
        <f xml:space="preserve"> IF(AND(Executive_Summary!$B$50 &lt;= Q2, Executive_Summary!$B$51&gt;= Q2), Q6 *(1 - Executive_Summary!$B$49), Q6)</f>
        <v>3303.2664710390395</v>
      </c>
      <c r="R3">
        <f xml:space="preserve"> IF(AND(Executive_Summary!$B$50 &lt;= R2, Executive_Summary!$B$51&gt;= R2), R6 *(1 - Executive_Summary!$B$49), R6)</f>
        <v>3138.1031474870874</v>
      </c>
      <c r="S3">
        <f xml:space="preserve"> IF(AND(Executive_Summary!$B$50 &lt;= S2, Executive_Summary!$B$51&gt;= S2), S6 *(1 - Executive_Summary!$B$49), S6)</f>
        <v>2981.1979901127329</v>
      </c>
      <c r="T3">
        <f xml:space="preserve"> IF(AND(Executive_Summary!$B$50 &lt;= T2, Executive_Summary!$B$51&gt;= T2), T6 *(1 - Executive_Summary!$B$49), T6)</f>
        <v>2832.1380906070963</v>
      </c>
      <c r="U3">
        <f xml:space="preserve"> IF(AND(Executive_Summary!$B$50 &lt;= U2, Executive_Summary!$B$51&gt;= U2), U6 *(1 - Executive_Summary!$B$49), U6)</f>
        <v>2690.5311860767415</v>
      </c>
    </row>
    <row r="5" spans="1:21">
      <c r="A5" s="6" t="s">
        <v>131</v>
      </c>
      <c r="B5" s="1">
        <v>2013</v>
      </c>
      <c r="C5" s="1">
        <v>2014</v>
      </c>
      <c r="D5" s="1">
        <v>2015</v>
      </c>
      <c r="E5" s="1">
        <v>2016</v>
      </c>
      <c r="F5" s="1">
        <v>2017</v>
      </c>
      <c r="G5" s="1">
        <v>2018</v>
      </c>
      <c r="H5" s="1">
        <v>2019</v>
      </c>
      <c r="I5" s="1">
        <v>2020</v>
      </c>
      <c r="J5" s="1">
        <v>2021</v>
      </c>
      <c r="K5" s="1">
        <v>2022</v>
      </c>
      <c r="L5" s="1">
        <v>2023</v>
      </c>
      <c r="M5" s="1">
        <v>2024</v>
      </c>
      <c r="N5" s="1">
        <v>2025</v>
      </c>
      <c r="O5" s="1">
        <v>2026</v>
      </c>
      <c r="P5" s="1">
        <v>2027</v>
      </c>
      <c r="Q5" s="1">
        <v>2028</v>
      </c>
      <c r="R5" s="1">
        <v>2029</v>
      </c>
      <c r="S5" s="1">
        <v>2030</v>
      </c>
      <c r="T5" s="1">
        <v>2031</v>
      </c>
      <c r="U5" s="1">
        <v>2032</v>
      </c>
    </row>
    <row r="6" spans="1:21">
      <c r="A6" s="3" t="s">
        <v>35</v>
      </c>
      <c r="B6">
        <f xml:space="preserve"> Executive_Summary!B47</f>
        <v>7130</v>
      </c>
      <c r="C6">
        <f xml:space="preserve"> B6 *(1 - Executive_Summary!$B$48)</f>
        <v>6773.5</v>
      </c>
      <c r="D6">
        <f xml:space="preserve"> C6 *(1 - Executive_Summary!$B$48)</f>
        <v>6434.8249999999998</v>
      </c>
      <c r="E6">
        <f xml:space="preserve"> D6 *(1 - Executive_Summary!$B$48)</f>
        <v>6113.0837499999998</v>
      </c>
      <c r="F6">
        <f xml:space="preserve"> E6 *(1 - Executive_Summary!$B$48)</f>
        <v>5807.4295624999995</v>
      </c>
      <c r="G6">
        <f xml:space="preserve"> F6 *(1 - Executive_Summary!$B$48)</f>
        <v>5517.0580843749995</v>
      </c>
      <c r="H6">
        <f xml:space="preserve"> G6 *(1 - Executive_Summary!$B$48)</f>
        <v>5241.2051801562493</v>
      </c>
      <c r="I6">
        <f xml:space="preserve"> H6 *(1 - Executive_Summary!$B$48)</f>
        <v>4979.1449211484369</v>
      </c>
      <c r="J6">
        <f xml:space="preserve"> I6 *(1 - Executive_Summary!$B$48)</f>
        <v>4730.1876750910151</v>
      </c>
      <c r="K6">
        <f xml:space="preserve"> J6 *(1 - Executive_Summary!$B$48)</f>
        <v>4493.6782913364641</v>
      </c>
      <c r="L6">
        <f xml:space="preserve"> K6 *(1 - Executive_Summary!$B$48)</f>
        <v>4268.9943767696404</v>
      </c>
      <c r="M6">
        <f xml:space="preserve"> L6 *(1 - Executive_Summary!$B$48)</f>
        <v>4055.5446579311583</v>
      </c>
      <c r="N6">
        <f xml:space="preserve"> M6 *(1 - Executive_Summary!$B$48)</f>
        <v>3852.7674250346004</v>
      </c>
      <c r="O6">
        <f xml:space="preserve"> N6 *(1 - Executive_Summary!$B$48)</f>
        <v>3660.12905378287</v>
      </c>
      <c r="P6">
        <f xml:space="preserve"> O6 *(1 - Executive_Summary!$B$48)</f>
        <v>3477.1226010937262</v>
      </c>
      <c r="Q6">
        <f xml:space="preserve"> P6 *(1 - Executive_Summary!$B$48)</f>
        <v>3303.2664710390395</v>
      </c>
      <c r="R6">
        <f xml:space="preserve"> Q6 *(1 - Executive_Summary!$B$48)</f>
        <v>3138.1031474870874</v>
      </c>
      <c r="S6">
        <f xml:space="preserve"> R6 *(1 - Executive_Summary!$B$48)</f>
        <v>2981.1979901127329</v>
      </c>
      <c r="T6">
        <f xml:space="preserve"> S6 *(1 - Executive_Summary!$B$48)</f>
        <v>2832.1380906070963</v>
      </c>
      <c r="U6">
        <f xml:space="preserve"> T6 *(1 - Executive_Summary!$B$48)</f>
        <v>2690.5311860767415</v>
      </c>
    </row>
    <row r="8" spans="1:21" ht="30">
      <c r="A8" s="29" t="s">
        <v>107</v>
      </c>
    </row>
    <row r="9" spans="1:21">
      <c r="A9">
        <v>150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11"/>
  <sheetViews>
    <sheetView tabSelected="1" workbookViewId="0">
      <selection activeCell="D6" sqref="D6"/>
    </sheetView>
  </sheetViews>
  <sheetFormatPr baseColWidth="10" defaultColWidth="11" defaultRowHeight="15" x14ac:dyDescent="0"/>
  <cols>
    <col min="1" max="1" width="14.6640625" bestFit="1" customWidth="1"/>
    <col min="2" max="2" width="23.1640625" bestFit="1" customWidth="1"/>
    <col min="3" max="3" width="28.83203125" bestFit="1" customWidth="1"/>
    <col min="4" max="8" width="16.6640625" bestFit="1" customWidth="1"/>
    <col min="9" max="9" width="17.83203125" customWidth="1"/>
    <col min="10" max="10" width="20" customWidth="1"/>
  </cols>
  <sheetData>
    <row r="1" spans="1:11">
      <c r="A1" s="28" t="s">
        <v>105</v>
      </c>
    </row>
    <row r="2" spans="1:11">
      <c r="A2" s="33">
        <f xml:space="preserve"> Executive_Summary!B54</f>
        <v>4116775</v>
      </c>
    </row>
    <row r="5" spans="1:11">
      <c r="A5" t="str">
        <f xml:space="preserve"> IF(OR(C5 &gt;100, C5 &lt; 0), Check_btw_100percent(), "")</f>
        <v/>
      </c>
      <c r="B5" s="49" t="s">
        <v>133</v>
      </c>
      <c r="C5" s="3">
        <f xml:space="preserve"> SUM(C8:C11)</f>
        <v>100</v>
      </c>
    </row>
    <row r="6" spans="1:11">
      <c r="A6" s="52" t="s">
        <v>103</v>
      </c>
      <c r="B6" s="53"/>
      <c r="C6" s="53"/>
      <c r="D6" s="26" t="s">
        <v>34</v>
      </c>
      <c r="E6" s="27"/>
      <c r="F6" s="27"/>
      <c r="G6" s="27"/>
      <c r="H6" s="27"/>
      <c r="I6" s="27"/>
    </row>
    <row r="7" spans="1:11" ht="30">
      <c r="A7" s="4" t="s">
        <v>100</v>
      </c>
      <c r="B7" s="4" t="s">
        <v>27</v>
      </c>
      <c r="C7" s="1" t="s">
        <v>104</v>
      </c>
      <c r="D7" s="23" t="s">
        <v>28</v>
      </c>
      <c r="E7" s="23" t="s">
        <v>29</v>
      </c>
      <c r="F7" s="23" t="s">
        <v>30</v>
      </c>
      <c r="G7" s="23" t="s">
        <v>31</v>
      </c>
      <c r="H7" s="23" t="s">
        <v>32</v>
      </c>
      <c r="I7" s="23" t="s">
        <v>33</v>
      </c>
      <c r="J7" s="50" t="s">
        <v>134</v>
      </c>
    </row>
    <row r="8" spans="1:11">
      <c r="A8" s="5" t="s">
        <v>101</v>
      </c>
      <c r="B8" s="5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  <c r="J8">
        <v>100</v>
      </c>
      <c r="K8" t="str">
        <f xml:space="preserve"> IF(OR(J8 &gt;100, J8 &lt; 0), Check_btw_100percent(), "")</f>
        <v/>
      </c>
    </row>
    <row r="9" spans="1:11">
      <c r="A9" s="5" t="s">
        <v>102</v>
      </c>
      <c r="B9" s="5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  <c r="J9">
        <v>100</v>
      </c>
      <c r="K9" t="str">
        <f xml:space="preserve"> IF(OR(J9 &gt;100, J9 &lt; 0), Check_btw_100percent(), "")</f>
        <v/>
      </c>
    </row>
    <row r="10" spans="1:11">
      <c r="A10" s="5" t="s">
        <v>101</v>
      </c>
      <c r="B10" s="5" t="s">
        <v>106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  <c r="J10">
        <f t="shared" ref="J10:J11" si="0" xml:space="preserve"> SUM(D10:I10)</f>
        <v>99.999999999999758</v>
      </c>
      <c r="K10" t="str">
        <f xml:space="preserve"> IF(OR(J10 &gt;100, J10 &lt; 0), Check_btw_100percent(), "")</f>
        <v/>
      </c>
    </row>
    <row r="11" spans="1:11">
      <c r="A11" s="5" t="s">
        <v>102</v>
      </c>
      <c r="B11" s="5" t="s">
        <v>106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  <c r="J11">
        <f t="shared" si="0"/>
        <v>99.999999999999886</v>
      </c>
      <c r="K11" t="str">
        <f xml:space="preserve"> IF(OR(J11 &gt;100, J11 &lt; 0), Check_btw_100percent(), "")</f>
        <v/>
      </c>
    </row>
  </sheetData>
  <mergeCells count="1">
    <mergeCell ref="A6:C6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workbookViewId="0">
      <selection activeCell="E32" sqref="E32"/>
    </sheetView>
  </sheetViews>
  <sheetFormatPr baseColWidth="10" defaultColWidth="8.83203125" defaultRowHeight="15" x14ac:dyDescent="0"/>
  <cols>
    <col min="1" max="1" width="51.1640625" bestFit="1" customWidth="1"/>
    <col min="2" max="2" width="22" customWidth="1"/>
  </cols>
  <sheetData>
    <row r="1" spans="1:2">
      <c r="A1" s="1" t="s">
        <v>54</v>
      </c>
      <c r="B1" s="13">
        <v>8.2049999999999998E-2</v>
      </c>
    </row>
    <row r="2" spans="1:2">
      <c r="A2" s="1" t="s">
        <v>55</v>
      </c>
      <c r="B2" s="13">
        <v>8.2049999999999998E-2</v>
      </c>
    </row>
    <row r="3" spans="1:2">
      <c r="A3" s="1" t="s">
        <v>56</v>
      </c>
      <c r="B3" s="13">
        <v>8.2049999999999998E-2</v>
      </c>
    </row>
    <row r="4" spans="1:2">
      <c r="A4" s="1" t="s">
        <v>57</v>
      </c>
      <c r="B4" s="13">
        <v>8.2049999999999998E-2</v>
      </c>
    </row>
    <row r="5" spans="1:2">
      <c r="A5" s="1" t="s">
        <v>58</v>
      </c>
      <c r="B5" s="13">
        <v>8.2049999999999998E-2</v>
      </c>
    </row>
    <row r="6" spans="1:2">
      <c r="A6" s="1" t="s">
        <v>82</v>
      </c>
      <c r="B6" s="13">
        <f xml:space="preserve"> Executive_Summary!B55</f>
        <v>2743400485</v>
      </c>
    </row>
    <row r="7" spans="1:2">
      <c r="A7" s="25"/>
      <c r="B7" s="13"/>
    </row>
    <row r="8" spans="1:2">
      <c r="A8" s="25"/>
      <c r="B8" s="1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0"/>
  <sheetViews>
    <sheetView zoomScale="75" zoomScaleNormal="75" zoomScalePageLayoutView="75" workbookViewId="0">
      <selection activeCell="D81" sqref="D81"/>
    </sheetView>
  </sheetViews>
  <sheetFormatPr baseColWidth="10" defaultColWidth="11" defaultRowHeight="15" x14ac:dyDescent="0"/>
  <cols>
    <col min="1" max="1" width="11.5" bestFit="1" customWidth="1"/>
    <col min="2" max="3" width="57.33203125" bestFit="1" customWidth="1"/>
    <col min="4" max="4" width="53.5" bestFit="1" customWidth="1"/>
    <col min="5" max="5" width="27.6640625" bestFit="1" customWidth="1"/>
    <col min="6" max="6" width="22.33203125" bestFit="1" customWidth="1"/>
    <col min="7" max="7" width="4.83203125" bestFit="1" customWidth="1"/>
    <col min="8" max="8" width="8.1640625" bestFit="1" customWidth="1"/>
    <col min="9" max="9" width="6" bestFit="1" customWidth="1"/>
    <col min="10" max="10" width="12.6640625" bestFit="1" customWidth="1"/>
    <col min="11" max="11" width="11.5" bestFit="1" customWidth="1"/>
    <col min="12" max="12" width="9.33203125" bestFit="1" customWidth="1"/>
    <col min="13" max="13" width="12.6640625" bestFit="1" customWidth="1"/>
    <col min="14" max="14" width="8.1640625" bestFit="1" customWidth="1"/>
  </cols>
  <sheetData>
    <row r="1" spans="1:13">
      <c r="A1" s="42" t="s">
        <v>0</v>
      </c>
      <c r="B1" s="6" t="s">
        <v>36</v>
      </c>
      <c r="C1" s="6" t="s">
        <v>37</v>
      </c>
      <c r="D1" s="36"/>
      <c r="E1" s="37" t="s">
        <v>98</v>
      </c>
      <c r="F1" s="37"/>
      <c r="G1" s="38"/>
      <c r="H1" s="39"/>
      <c r="I1" s="39"/>
      <c r="J1" s="39"/>
      <c r="K1" s="39"/>
      <c r="L1" s="39"/>
      <c r="M1" s="39"/>
    </row>
    <row r="2" spans="1:13">
      <c r="A2" s="2" t="s">
        <v>1</v>
      </c>
      <c r="B2" t="s">
        <v>4</v>
      </c>
      <c r="C2" t="s">
        <v>20</v>
      </c>
      <c r="D2" s="35" t="s">
        <v>68</v>
      </c>
      <c r="E2" s="35" t="s">
        <v>73</v>
      </c>
      <c r="F2" s="35" t="s">
        <v>74</v>
      </c>
      <c r="G2" s="35" t="s">
        <v>76</v>
      </c>
      <c r="H2" s="35" t="s">
        <v>87</v>
      </c>
      <c r="I2" s="35" t="s">
        <v>91</v>
      </c>
      <c r="J2" s="35" t="s">
        <v>92</v>
      </c>
      <c r="K2" s="35" t="s">
        <v>88</v>
      </c>
      <c r="L2" s="35" t="s">
        <v>93</v>
      </c>
      <c r="M2" s="35" t="s">
        <v>94</v>
      </c>
    </row>
    <row r="3" spans="1:13">
      <c r="A3" s="2" t="s">
        <v>106</v>
      </c>
      <c r="B3" t="s">
        <v>5</v>
      </c>
      <c r="C3" t="s">
        <v>21</v>
      </c>
      <c r="D3" t="s">
        <v>2</v>
      </c>
      <c r="E3">
        <v>3.5000000000000001E-3</v>
      </c>
      <c r="F3">
        <v>0.1</v>
      </c>
      <c r="G3">
        <v>1E-4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s="2"/>
      <c r="B4" t="s">
        <v>6</v>
      </c>
      <c r="C4" t="s">
        <v>18</v>
      </c>
      <c r="D4" t="s">
        <v>3</v>
      </c>
      <c r="E4">
        <v>3.5000000000000001E-3</v>
      </c>
      <c r="F4">
        <v>0.1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B5" t="s">
        <v>7</v>
      </c>
      <c r="C5" t="s">
        <v>19</v>
      </c>
      <c r="D5" t="s">
        <v>84</v>
      </c>
      <c r="E5">
        <v>0</v>
      </c>
      <c r="F5">
        <v>0</v>
      </c>
      <c r="G5">
        <v>0</v>
      </c>
      <c r="H5">
        <v>0.03</v>
      </c>
      <c r="I5">
        <v>7.0000000000000005E-8</v>
      </c>
      <c r="J5">
        <v>3.9999999999999998E-6</v>
      </c>
      <c r="K5">
        <v>0.05</v>
      </c>
      <c r="L5">
        <v>2.9999999999999997E-8</v>
      </c>
      <c r="M5">
        <v>7.0000000000000007E-2</v>
      </c>
    </row>
    <row r="6" spans="1:13">
      <c r="B6" t="s">
        <v>15</v>
      </c>
      <c r="C6" t="s">
        <v>16</v>
      </c>
    </row>
    <row r="7" spans="1:13">
      <c r="B7" t="s">
        <v>23</v>
      </c>
      <c r="C7" t="s">
        <v>22</v>
      </c>
    </row>
    <row r="8" spans="1:13">
      <c r="B8" t="s">
        <v>24</v>
      </c>
      <c r="C8" t="s">
        <v>25</v>
      </c>
      <c r="D8" s="35" t="s">
        <v>68</v>
      </c>
      <c r="E8" s="35" t="s">
        <v>73</v>
      </c>
      <c r="F8" s="35" t="s">
        <v>74</v>
      </c>
      <c r="G8" s="35" t="s">
        <v>76</v>
      </c>
      <c r="H8" s="35" t="s">
        <v>87</v>
      </c>
      <c r="I8" s="35" t="s">
        <v>91</v>
      </c>
      <c r="J8" s="35" t="s">
        <v>92</v>
      </c>
      <c r="K8" s="35" t="s">
        <v>88</v>
      </c>
      <c r="L8" s="35" t="s">
        <v>93</v>
      </c>
      <c r="M8" s="35" t="s">
        <v>94</v>
      </c>
    </row>
    <row r="9" spans="1:13">
      <c r="D9" t="s">
        <v>99</v>
      </c>
      <c r="E9">
        <v>0</v>
      </c>
      <c r="F9">
        <v>0</v>
      </c>
      <c r="G9">
        <v>0</v>
      </c>
      <c r="H9">
        <v>0</v>
      </c>
      <c r="I9">
        <v>0</v>
      </c>
      <c r="J9">
        <v>1.114E-4</v>
      </c>
      <c r="K9">
        <v>6.5659999999999996E-2</v>
      </c>
      <c r="L9">
        <v>1.517E-4</v>
      </c>
      <c r="M9">
        <v>0.13139999999999999</v>
      </c>
    </row>
    <row r="11" spans="1:13">
      <c r="B11" s="41" t="s">
        <v>8</v>
      </c>
      <c r="C11" s="41" t="s">
        <v>9</v>
      </c>
    </row>
    <row r="12" spans="1:13">
      <c r="B12" t="s">
        <v>10</v>
      </c>
      <c r="C12" t="s">
        <v>73</v>
      </c>
    </row>
    <row r="13" spans="1:13">
      <c r="B13" t="s">
        <v>38</v>
      </c>
      <c r="C13" t="s">
        <v>74</v>
      </c>
    </row>
    <row r="14" spans="1:13">
      <c r="B14" t="s">
        <v>75</v>
      </c>
      <c r="C14" t="s">
        <v>76</v>
      </c>
    </row>
    <row r="15" spans="1:13">
      <c r="B15" t="s">
        <v>11</v>
      </c>
      <c r="C15" t="s">
        <v>13</v>
      </c>
    </row>
    <row r="16" spans="1:13">
      <c r="B16" t="s">
        <v>17</v>
      </c>
      <c r="C16" t="s">
        <v>26</v>
      </c>
    </row>
    <row r="17" spans="2:3">
      <c r="B17" t="s">
        <v>12</v>
      </c>
      <c r="C17" t="s">
        <v>14</v>
      </c>
    </row>
    <row r="18" spans="2:3">
      <c r="B18" t="s">
        <v>86</v>
      </c>
      <c r="C18" t="s">
        <v>87</v>
      </c>
    </row>
    <row r="19" spans="2:3">
      <c r="B19" t="s">
        <v>95</v>
      </c>
      <c r="C19" t="s">
        <v>91</v>
      </c>
    </row>
    <row r="20" spans="2:3">
      <c r="B20" t="s">
        <v>90</v>
      </c>
      <c r="C20" t="s">
        <v>92</v>
      </c>
    </row>
    <row r="21" spans="2:3">
      <c r="B21" t="s">
        <v>96</v>
      </c>
      <c r="C21" t="s">
        <v>88</v>
      </c>
    </row>
    <row r="22" spans="2:3">
      <c r="B22" t="s">
        <v>89</v>
      </c>
      <c r="C22" t="s">
        <v>93</v>
      </c>
    </row>
    <row r="23" spans="2:3">
      <c r="B23" t="s">
        <v>97</v>
      </c>
      <c r="C23" t="s">
        <v>94</v>
      </c>
    </row>
    <row r="26" spans="2:3">
      <c r="B26" s="40" t="s">
        <v>68</v>
      </c>
      <c r="C26" s="40" t="s">
        <v>69</v>
      </c>
    </row>
    <row r="27" spans="2:3">
      <c r="B27" t="s">
        <v>83</v>
      </c>
      <c r="C27" t="s">
        <v>71</v>
      </c>
    </row>
    <row r="28" spans="2:3">
      <c r="B28" t="s">
        <v>3</v>
      </c>
      <c r="C28" t="s">
        <v>72</v>
      </c>
    </row>
    <row r="29" spans="2:3">
      <c r="B29" t="s">
        <v>70</v>
      </c>
      <c r="C29" t="s">
        <v>77</v>
      </c>
    </row>
    <row r="30" spans="2:3">
      <c r="B30" t="s">
        <v>84</v>
      </c>
      <c r="C30" t="s">
        <v>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Executive_Summary</vt:lpstr>
      <vt:lpstr>PV_Parameters</vt:lpstr>
      <vt:lpstr>Category_Names</vt:lpstr>
      <vt:lpstr>Utility_Costs</vt:lpstr>
      <vt:lpstr>Adoption_Model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2014-01-19T22:25:55Z</dcterms:modified>
</cp:coreProperties>
</file>