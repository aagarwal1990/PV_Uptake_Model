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030" codeName="{8C4F1C90-05EB-6A55-5F09-09C24B55AC0B}"/>
  <workbookPr showInkAnnotation="0" codeName="ThisWorkbook" autoCompressPictures="0"/>
  <bookViews>
    <workbookView xWindow="0" yWindow="0" windowWidth="12800" windowHeight="14060" tabRatio="861" firstSheet="1" activeTab="3"/>
  </bookViews>
  <sheets>
    <sheet name="Climates, Rates, Adoption Model" sheetId="2" r:id="rId1"/>
    <sheet name="Category_Names" sheetId="5" r:id="rId2"/>
    <sheet name="PV Parameters" sheetId="4" r:id="rId3"/>
    <sheet name="Tariff Structures" sheetId="8" r:id="rId4"/>
    <sheet name="Utility Costs" sheetId="9" r:id="rId5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" i="4" l="1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D3" i="4"/>
  <c r="E3" i="4"/>
  <c r="C11" i="5"/>
</calcChain>
</file>

<file path=xl/sharedStrings.xml><?xml version="1.0" encoding="utf-8"?>
<sst xmlns="http://schemas.openxmlformats.org/spreadsheetml/2006/main" count="151" uniqueCount="122">
  <si>
    <t>Rate Names</t>
  </si>
  <si>
    <t>CARE</t>
  </si>
  <si>
    <t>Bass Model with Savings</t>
  </si>
  <si>
    <t>Classic Bass Model</t>
  </si>
  <si>
    <t>Product</t>
  </si>
  <si>
    <t>Division</t>
  </si>
  <si>
    <t>Addition</t>
  </si>
  <si>
    <t>Subtraction</t>
  </si>
  <si>
    <t>Variables to Choose From</t>
  </si>
  <si>
    <t>Variable Name</t>
  </si>
  <si>
    <t>Innovators</t>
  </si>
  <si>
    <t>Prevalence</t>
  </si>
  <si>
    <t>Probability</t>
  </si>
  <si>
    <t>prev</t>
  </si>
  <si>
    <t>prob</t>
  </si>
  <si>
    <t>Parentheses</t>
  </si>
  <si>
    <t>()</t>
  </si>
  <si>
    <t>Savings</t>
  </si>
  <si>
    <t>+</t>
  </si>
  <si>
    <t>-</t>
  </si>
  <si>
    <t>*</t>
  </si>
  <si>
    <t>/</t>
  </si>
  <si>
    <t>^</t>
  </si>
  <si>
    <t>Power</t>
  </si>
  <si>
    <t>Square Root</t>
  </si>
  <si>
    <t>sqrt</t>
  </si>
  <si>
    <t>savings</t>
  </si>
  <si>
    <t>Rate</t>
  </si>
  <si>
    <t>Consumption Bin 1 (0 - 199kW)</t>
  </si>
  <si>
    <t>Consumption Bin 2 (200 - 399kW)</t>
  </si>
  <si>
    <t>Consumption Bin 3 400 - 599kW)</t>
  </si>
  <si>
    <t>Consumption Bin 4 (600 - 799kW)</t>
  </si>
  <si>
    <t>Consumption Bin 5 (800 - 999kW)</t>
  </si>
  <si>
    <t>Consumption Bin 6 (1000 +kW)</t>
  </si>
  <si>
    <t xml:space="preserve">                                                            Percentage in each consumption bin for each category</t>
  </si>
  <si>
    <t>Cost of PV per kW</t>
  </si>
  <si>
    <t>Price</t>
  </si>
  <si>
    <t>Operators to Choose From</t>
  </si>
  <si>
    <t>Operator Name</t>
  </si>
  <si>
    <t>Imitators</t>
  </si>
  <si>
    <t>Customer Charge Type</t>
  </si>
  <si>
    <t>Tiers</t>
  </si>
  <si>
    <t>Baselines</t>
  </si>
  <si>
    <t>Minimum Charges</t>
  </si>
  <si>
    <t>Minimum Charge Non-CARE ($/Mo.)</t>
  </si>
  <si>
    <t>Minimum Charge CARE ($/Mo.)</t>
  </si>
  <si>
    <t>Customer Charges</t>
  </si>
  <si>
    <t>T1 Energy CARE Discount (%)</t>
  </si>
  <si>
    <t>T2 Energy CARE Discount (%)</t>
  </si>
  <si>
    <t>T3 Energy CARE Discount (%)</t>
  </si>
  <si>
    <t>T4 Energy CARE Discount (%)</t>
  </si>
  <si>
    <t>T5 Energy CARE Discount (%)</t>
  </si>
  <si>
    <t>Fixed Charge CARE Discount (%)</t>
  </si>
  <si>
    <t>T1 Increase Annually (%)</t>
  </si>
  <si>
    <t>T2 Increase Annually (%)</t>
  </si>
  <si>
    <t>Generation Marginal Energy Cost Summer On-Peak ($/kWh)</t>
  </si>
  <si>
    <t>Generation Marginal Energy Cost Summer Mid-Peak ($/kWh)</t>
  </si>
  <si>
    <t>Generation Marginal Energy Cost Summer Off-Peak ($/kWh)</t>
  </si>
  <si>
    <t>Generation Marginal Energy Cost Winter On-Peak ($/kWh)</t>
  </si>
  <si>
    <t>Generation Marginal Energy Cost Winter Off-Peak ($/kWh)</t>
  </si>
  <si>
    <t>Number of Tiers or "Ratio"</t>
  </si>
  <si>
    <t>T2/Baseline (%)</t>
  </si>
  <si>
    <t>T3/Baseline (%)</t>
  </si>
  <si>
    <t>T4/Baseline (%)</t>
  </si>
  <si>
    <t>T5/Baseline (%)</t>
  </si>
  <si>
    <t>Flat</t>
  </si>
  <si>
    <t>CARE Discounts</t>
  </si>
  <si>
    <t>Ratio</t>
  </si>
  <si>
    <t>Demand Differentiated</t>
  </si>
  <si>
    <t>Model Type</t>
  </si>
  <si>
    <t>Functional Form</t>
  </si>
  <si>
    <t>Linear Model</t>
  </si>
  <si>
    <t>prob = (P + Q * prev)  * (B * savings / (sqrt(1 + (B * savings) ^ 2))</t>
  </si>
  <si>
    <t xml:space="preserve">prob = (P + Q * prev) </t>
  </si>
  <si>
    <t>P</t>
  </si>
  <si>
    <t>Q</t>
  </si>
  <si>
    <t>Coefficient of Savings</t>
  </si>
  <si>
    <t>B</t>
  </si>
  <si>
    <t>prob = P + Q * prev + B * savings</t>
  </si>
  <si>
    <t>T4-T3 Delta ($/kWh)</t>
  </si>
  <si>
    <t>T5-T4 Delta ($/kWh)</t>
  </si>
  <si>
    <t>Summer and Winter Baseline (%)</t>
  </si>
  <si>
    <t>Flat Customer Charge ($/Mo.)</t>
  </si>
  <si>
    <t>Total System Delivery Costs ($/Year)</t>
  </si>
  <si>
    <t>Bass Model with Sigmoid Savings</t>
  </si>
  <si>
    <t xml:space="preserve">Classic Bass Model with Savings </t>
  </si>
  <si>
    <t>prob = (Pk + Qk * prev)  [k = 1, 2, 3]</t>
  </si>
  <si>
    <t>Innovators for consumers with  &lt;$15, 000 Potential Savings</t>
  </si>
  <si>
    <t>P1</t>
  </si>
  <si>
    <t>Q2</t>
  </si>
  <si>
    <t>Innovators for consumers with  &gt;$25, 000 Potential Savings</t>
  </si>
  <si>
    <t>Innovators for consumers with  $15, 000 - $25, 000 Potential Savings</t>
  </si>
  <si>
    <t>Q1</t>
  </si>
  <si>
    <t>P2</t>
  </si>
  <si>
    <t>P3</t>
  </si>
  <si>
    <t>Q3</t>
  </si>
  <si>
    <t>Imitators for consumers with  &lt;$15, 000 Potential Savings</t>
  </si>
  <si>
    <t>Imitators for consumers with  $15, 000 - $25, 000 Potential Savings</t>
  </si>
  <si>
    <t>Imitators for consumers with  &gt;$25, 000 Potential Savings</t>
  </si>
  <si>
    <t>Default Parameter Values</t>
  </si>
  <si>
    <t>Classic Bass Model with Savings</t>
  </si>
  <si>
    <t>Tenure</t>
  </si>
  <si>
    <t>Homeowners</t>
  </si>
  <si>
    <t>Renters</t>
  </si>
  <si>
    <t>Category Names &amp; Percentage Population</t>
  </si>
  <si>
    <t>Aggregate Population</t>
  </si>
  <si>
    <t>Total Population</t>
  </si>
  <si>
    <t>NonCARE</t>
  </si>
  <si>
    <t>PV Power Production -                               Annual kWh per Kw of Solar</t>
  </si>
  <si>
    <t>T2 / T1 Ratio</t>
  </si>
  <si>
    <t>T3 / T1 Ratio</t>
  </si>
  <si>
    <t>T4 / T1 Ratio</t>
  </si>
  <si>
    <t xml:space="preserve">T5 / T1 Ratio  </t>
  </si>
  <si>
    <t>Rates</t>
  </si>
  <si>
    <t>Demand Differentiated Break Point (kWh)</t>
  </si>
  <si>
    <t>Customer Charge above Break Point ($/Mo.)</t>
  </si>
  <si>
    <t>T1 Rate ($/kWh)</t>
  </si>
  <si>
    <t>T2 Rate ($/kWh)</t>
  </si>
  <si>
    <t>T3 Rate ($/kWh)</t>
  </si>
  <si>
    <t>T4 Rate ($/kWh)</t>
  </si>
  <si>
    <t>T5 Rate ($/kWh)</t>
  </si>
  <si>
    <t>Net Surplus Compensation Rate ($/kWh)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</si>
</sst>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&quot;$&quot;#,##0.00"/>
    <numFmt numFmtId="165" formatCode="&quot;$&quot;#,##0.000"/>
    <numFmt numFmtId="166" formatCode="&quot;$&quot;#,##0.00000"/>
    <numFmt numFmtId="167" formatCode="&quot;$&quot;#,##0.0000"/>
    <numFmt numFmtId="168" formatCode="0.000000%"/>
  </numFmts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0"/>
      <name val="Arial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3" tint="0.79998168889431442"/>
        <bgColor rgb="FF000000"/>
      </patternFill>
    </fill>
  </fills>
  <borders count="1">
    <border>
      <left/>
      <right/>
      <top/>
      <bottom/>
      <diagonal/>
    </border>
  </borders>
  <cellStyleXfs count="18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45">
    <xf numFmtId="0" fontId="0" fillId="0" borderId="0" xfId="0"/>
    <xf numFmtId="0" fontId="0" fillId="2" borderId="0" xfId="0" applyFill="1"/>
    <xf numFmtId="0" fontId="2" fillId="0" borderId="0" xfId="0" applyFont="1"/>
    <xf numFmtId="0" fontId="0" fillId="3" borderId="0" xfId="0" applyFill="1"/>
    <xf numFmtId="0" fontId="0" fillId="4" borderId="0" xfId="0" applyFill="1"/>
    <xf numFmtId="0" fontId="1" fillId="0" borderId="0" xfId="0" applyFont="1"/>
    <xf numFmtId="0" fontId="5" fillId="5" borderId="0" xfId="0" applyFont="1" applyFill="1"/>
    <xf numFmtId="0" fontId="5" fillId="0" borderId="0" xfId="0" applyFont="1"/>
    <xf numFmtId="0" fontId="1" fillId="2" borderId="0" xfId="0" applyFont="1" applyFill="1"/>
    <xf numFmtId="0" fontId="0" fillId="0" borderId="0" xfId="0" applyAlignment="1">
      <alignment horizontal="left"/>
    </xf>
    <xf numFmtId="0" fontId="0" fillId="0" borderId="0" xfId="0" applyBorder="1"/>
    <xf numFmtId="0" fontId="0" fillId="2" borderId="0" xfId="0" applyFill="1" applyBorder="1"/>
    <xf numFmtId="0" fontId="0" fillId="2" borderId="0" xfId="0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 applyAlignment="1">
      <alignment horizontal="left"/>
    </xf>
    <xf numFmtId="166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0" fontId="0" fillId="0" borderId="0" xfId="0" applyNumberFormat="1" applyFill="1" applyBorder="1" applyAlignment="1">
      <alignment horizontal="left"/>
    </xf>
    <xf numFmtId="165" fontId="0" fillId="0" borderId="0" xfId="0" applyNumberFormat="1" applyBorder="1" applyAlignment="1">
      <alignment horizontal="left"/>
    </xf>
    <xf numFmtId="1" fontId="0" fillId="0" borderId="0" xfId="0" applyNumberFormat="1" applyBorder="1" applyAlignment="1">
      <alignment horizontal="left"/>
    </xf>
    <xf numFmtId="164" fontId="0" fillId="0" borderId="0" xfId="0" applyNumberFormat="1" applyBorder="1" applyAlignment="1">
      <alignment horizontal="left"/>
    </xf>
    <xf numFmtId="10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Alignment="1">
      <alignment horizontal="right" vertical="center"/>
    </xf>
    <xf numFmtId="0" fontId="0" fillId="6" borderId="0" xfId="0" applyFill="1"/>
    <xf numFmtId="0" fontId="2" fillId="7" borderId="0" xfId="0" applyFont="1" applyFill="1"/>
    <xf numFmtId="0" fontId="5" fillId="8" borderId="0" xfId="0" applyFont="1" applyFill="1" applyAlignment="1">
      <alignment wrapText="1"/>
    </xf>
    <xf numFmtId="0" fontId="2" fillId="0" borderId="0" xfId="0" applyFont="1" applyFill="1" applyAlignment="1">
      <alignment vertical="center"/>
    </xf>
    <xf numFmtId="0" fontId="0" fillId="0" borderId="0" xfId="0" applyFill="1"/>
    <xf numFmtId="0" fontId="0" fillId="2" borderId="0" xfId="0" applyFill="1" applyAlignment="1">
      <alignment horizontal="center"/>
    </xf>
    <xf numFmtId="0" fontId="1" fillId="6" borderId="0" xfId="0" applyFont="1" applyFill="1" applyAlignment="1"/>
    <xf numFmtId="0" fontId="0" fillId="6" borderId="0" xfId="0" applyFill="1" applyAlignment="1"/>
    <xf numFmtId="0" fontId="6" fillId="2" borderId="0" xfId="0" applyFont="1" applyFill="1" applyAlignment="1">
      <alignment horizontal="center"/>
    </xf>
    <xf numFmtId="0" fontId="6" fillId="2" borderId="0" xfId="0" applyFont="1" applyFill="1"/>
    <xf numFmtId="0" fontId="0" fillId="7" borderId="0" xfId="0" applyFill="1"/>
    <xf numFmtId="0" fontId="1" fillId="2" borderId="0" xfId="0" applyFont="1" applyFill="1" applyAlignment="1">
      <alignment horizontal="center" wrapText="1"/>
    </xf>
    <xf numFmtId="0" fontId="0" fillId="0" borderId="0" xfId="0" applyNumberFormat="1" applyFill="1" applyBorder="1" applyAlignment="1">
      <alignment horizontal="left"/>
    </xf>
    <xf numFmtId="0" fontId="0" fillId="0" borderId="0" xfId="0" applyNumberFormat="1" applyBorder="1" applyAlignment="1">
      <alignment horizontal="left"/>
    </xf>
    <xf numFmtId="167" fontId="0" fillId="0" borderId="0" xfId="0" applyNumberFormat="1" applyBorder="1" applyAlignment="1">
      <alignment horizontal="left"/>
    </xf>
    <xf numFmtId="0" fontId="7" fillId="0" borderId="0" xfId="0" applyFont="1" applyFill="1" applyBorder="1" applyAlignment="1" applyProtection="1"/>
    <xf numFmtId="168" fontId="0" fillId="0" borderId="0" xfId="0" applyNumberFormat="1" applyBorder="1" applyAlignment="1">
      <alignment horizontal="left"/>
    </xf>
    <xf numFmtId="0" fontId="0" fillId="3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1" fillId="3" borderId="0" xfId="0" applyFont="1" applyFill="1" applyBorder="1" applyAlignment="1">
      <alignment horizontal="center"/>
    </xf>
  </cellXfs>
  <cellStyles count="18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L31"/>
  <sheetViews>
    <sheetView topLeftCell="F8" workbookViewId="0">
      <selection activeCell="G31" sqref="G31"/>
    </sheetView>
  </sheetViews>
  <sheetFormatPr baseColWidth="10" defaultColWidth="11" defaultRowHeight="15" x14ac:dyDescent="0"/>
  <cols>
    <col min="1" max="1" width="18" bestFit="1" customWidth="1"/>
    <col min="2" max="2" width="15.6640625" customWidth="1"/>
    <col min="3" max="3" width="28" bestFit="1" customWidth="1"/>
    <col min="4" max="4" width="53.5" bestFit="1" customWidth="1"/>
    <col min="5" max="5" width="57" bestFit="1" customWidth="1"/>
    <col min="6" max="6" width="61" bestFit="1" customWidth="1"/>
    <col min="7" max="7" width="57" bestFit="1" customWidth="1"/>
    <col min="8" max="8" width="13.1640625" bestFit="1" customWidth="1"/>
    <col min="11" max="11" width="11.1640625" bestFit="1" customWidth="1"/>
    <col min="14" max="14" width="11.1640625" bestFit="1" customWidth="1"/>
  </cols>
  <sheetData>
    <row r="1" spans="1:6">
      <c r="A1" s="26" t="s">
        <v>0</v>
      </c>
      <c r="C1" s="1" t="s">
        <v>37</v>
      </c>
      <c r="D1" s="1" t="s">
        <v>38</v>
      </c>
      <c r="E1" s="4" t="s">
        <v>8</v>
      </c>
      <c r="F1" s="4" t="s">
        <v>9</v>
      </c>
    </row>
    <row r="2" spans="1:6">
      <c r="A2" s="2" t="s">
        <v>1</v>
      </c>
      <c r="C2" t="s">
        <v>4</v>
      </c>
      <c r="D2" t="s">
        <v>20</v>
      </c>
      <c r="E2" t="s">
        <v>10</v>
      </c>
      <c r="F2" t="s">
        <v>74</v>
      </c>
    </row>
    <row r="3" spans="1:6">
      <c r="A3" s="2" t="s">
        <v>107</v>
      </c>
      <c r="C3" t="s">
        <v>5</v>
      </c>
      <c r="D3" t="s">
        <v>21</v>
      </c>
      <c r="E3" t="s">
        <v>39</v>
      </c>
      <c r="F3" t="s">
        <v>75</v>
      </c>
    </row>
    <row r="4" spans="1:6">
      <c r="A4" s="2"/>
      <c r="B4" s="2"/>
      <c r="C4" t="s">
        <v>6</v>
      </c>
      <c r="D4" t="s">
        <v>18</v>
      </c>
      <c r="E4" t="s">
        <v>76</v>
      </c>
      <c r="F4" t="s">
        <v>77</v>
      </c>
    </row>
    <row r="5" spans="1:6">
      <c r="C5" t="s">
        <v>7</v>
      </c>
      <c r="D5" t="s">
        <v>19</v>
      </c>
      <c r="E5" t="s">
        <v>11</v>
      </c>
      <c r="F5" t="s">
        <v>13</v>
      </c>
    </row>
    <row r="6" spans="1:6">
      <c r="C6" t="s">
        <v>15</v>
      </c>
      <c r="D6" t="s">
        <v>16</v>
      </c>
      <c r="E6" t="s">
        <v>17</v>
      </c>
      <c r="F6" t="s">
        <v>26</v>
      </c>
    </row>
    <row r="7" spans="1:6">
      <c r="C7" t="s">
        <v>23</v>
      </c>
      <c r="D7" t="s">
        <v>22</v>
      </c>
      <c r="E7" t="s">
        <v>12</v>
      </c>
      <c r="F7" t="s">
        <v>14</v>
      </c>
    </row>
    <row r="8" spans="1:6">
      <c r="C8" t="s">
        <v>24</v>
      </c>
      <c r="D8" t="s">
        <v>25</v>
      </c>
      <c r="E8" t="s">
        <v>87</v>
      </c>
      <c r="F8" t="s">
        <v>88</v>
      </c>
    </row>
    <row r="9" spans="1:6">
      <c r="E9" t="s">
        <v>96</v>
      </c>
      <c r="F9" t="s">
        <v>92</v>
      </c>
    </row>
    <row r="10" spans="1:6">
      <c r="E10" t="s">
        <v>91</v>
      </c>
      <c r="F10" t="s">
        <v>93</v>
      </c>
    </row>
    <row r="11" spans="1:6">
      <c r="E11" t="s">
        <v>97</v>
      </c>
      <c r="F11" t="s">
        <v>89</v>
      </c>
    </row>
    <row r="12" spans="1:6">
      <c r="E12" t="s">
        <v>90</v>
      </c>
      <c r="F12" t="s">
        <v>94</v>
      </c>
    </row>
    <row r="13" spans="1:6">
      <c r="E13" t="s">
        <v>98</v>
      </c>
      <c r="F13" t="s">
        <v>95</v>
      </c>
    </row>
    <row r="16" spans="1:6">
      <c r="C16" s="25" t="s">
        <v>69</v>
      </c>
      <c r="D16" s="25" t="s">
        <v>70</v>
      </c>
    </row>
    <row r="17" spans="3:12">
      <c r="C17" t="s">
        <v>84</v>
      </c>
      <c r="D17" t="s">
        <v>72</v>
      </c>
    </row>
    <row r="18" spans="3:12">
      <c r="C18" t="s">
        <v>3</v>
      </c>
      <c r="D18" t="s">
        <v>73</v>
      </c>
    </row>
    <row r="19" spans="3:12">
      <c r="C19" t="s">
        <v>71</v>
      </c>
      <c r="D19" t="s">
        <v>78</v>
      </c>
    </row>
    <row r="20" spans="3:12">
      <c r="C20" t="s">
        <v>85</v>
      </c>
      <c r="D20" t="s">
        <v>86</v>
      </c>
    </row>
    <row r="23" spans="3:12">
      <c r="D23" s="30" t="s">
        <v>99</v>
      </c>
      <c r="E23" s="30"/>
      <c r="F23" s="33"/>
      <c r="G23" s="34"/>
      <c r="H23" s="34"/>
      <c r="I23" s="34"/>
      <c r="J23" s="34"/>
      <c r="K23" s="34"/>
      <c r="L23" s="34"/>
    </row>
    <row r="24" spans="3:12">
      <c r="C24" s="3" t="s">
        <v>69</v>
      </c>
      <c r="D24" s="3" t="s">
        <v>74</v>
      </c>
      <c r="E24" s="3" t="s">
        <v>75</v>
      </c>
      <c r="F24" s="3" t="s">
        <v>77</v>
      </c>
      <c r="G24" s="3" t="s">
        <v>88</v>
      </c>
      <c r="H24" s="3" t="s">
        <v>92</v>
      </c>
      <c r="I24" s="3" t="s">
        <v>93</v>
      </c>
      <c r="J24" s="3" t="s">
        <v>89</v>
      </c>
      <c r="K24" s="3" t="s">
        <v>94</v>
      </c>
      <c r="L24" s="3" t="s">
        <v>95</v>
      </c>
    </row>
    <row r="25" spans="3:12">
      <c r="C25" t="s">
        <v>2</v>
      </c>
      <c r="D25">
        <v>3.5000000000000001E-3</v>
      </c>
      <c r="E25">
        <v>0.1</v>
      </c>
      <c r="F25">
        <v>1E-4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</row>
    <row r="26" spans="3:12">
      <c r="C26" t="s">
        <v>3</v>
      </c>
      <c r="D26">
        <v>3.5000000000000001E-3</v>
      </c>
      <c r="E26">
        <v>0.1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</row>
    <row r="27" spans="3:12">
      <c r="C27" t="s">
        <v>85</v>
      </c>
      <c r="D27">
        <v>0</v>
      </c>
      <c r="E27">
        <v>0</v>
      </c>
      <c r="F27">
        <v>0</v>
      </c>
      <c r="G27">
        <v>0.03</v>
      </c>
      <c r="H27">
        <v>7.0000000000000005E-8</v>
      </c>
      <c r="I27">
        <v>3.9999999999999998E-6</v>
      </c>
      <c r="J27">
        <v>0.05</v>
      </c>
      <c r="K27">
        <v>2.9999999999999997E-8</v>
      </c>
      <c r="L27">
        <v>7.0000000000000007E-2</v>
      </c>
    </row>
    <row r="30" spans="3:12">
      <c r="C30" s="3" t="s">
        <v>69</v>
      </c>
      <c r="D30" s="3" t="s">
        <v>74</v>
      </c>
      <c r="E30" s="3" t="s">
        <v>75</v>
      </c>
      <c r="F30" s="3" t="s">
        <v>77</v>
      </c>
      <c r="G30" s="3" t="s">
        <v>88</v>
      </c>
      <c r="H30" s="3" t="s">
        <v>92</v>
      </c>
      <c r="I30" s="3" t="s">
        <v>93</v>
      </c>
      <c r="J30" s="3" t="s">
        <v>89</v>
      </c>
      <c r="K30" s="3" t="s">
        <v>94</v>
      </c>
      <c r="L30" s="3" t="s">
        <v>95</v>
      </c>
    </row>
    <row r="31" spans="3:12">
      <c r="C31" t="s">
        <v>100</v>
      </c>
      <c r="D31">
        <v>0</v>
      </c>
      <c r="E31">
        <v>0</v>
      </c>
      <c r="F31">
        <v>0</v>
      </c>
      <c r="G31">
        <v>0</v>
      </c>
      <c r="H31">
        <v>0</v>
      </c>
      <c r="I31">
        <v>1.114E-4</v>
      </c>
      <c r="J31">
        <v>6.5659999999999996E-2</v>
      </c>
      <c r="K31">
        <v>1.517E-4</v>
      </c>
      <c r="L31">
        <v>0.13139999999999999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I11"/>
  <sheetViews>
    <sheetView workbookViewId="0">
      <selection activeCell="C32" sqref="C32"/>
    </sheetView>
  </sheetViews>
  <sheetFormatPr baseColWidth="10" defaultColWidth="11" defaultRowHeight="15" x14ac:dyDescent="0"/>
  <cols>
    <col min="1" max="1" width="14.6640625" bestFit="1" customWidth="1"/>
    <col min="2" max="2" width="9.5" bestFit="1" customWidth="1"/>
    <col min="3" max="3" width="28.83203125" bestFit="1" customWidth="1"/>
    <col min="4" max="8" width="16.6640625" bestFit="1" customWidth="1"/>
    <col min="9" max="9" width="17.83203125" customWidth="1"/>
  </cols>
  <sheetData>
    <row r="1" spans="1:9">
      <c r="A1" s="35" t="s">
        <v>106</v>
      </c>
    </row>
    <row r="2" spans="1:9">
      <c r="A2" s="40">
        <v>4116775</v>
      </c>
    </row>
    <row r="6" spans="1:9">
      <c r="A6" s="42" t="s">
        <v>104</v>
      </c>
      <c r="B6" s="43"/>
      <c r="C6" s="43"/>
      <c r="D6" s="31" t="s">
        <v>34</v>
      </c>
      <c r="E6" s="32"/>
      <c r="F6" s="32"/>
      <c r="G6" s="32"/>
      <c r="H6" s="32"/>
      <c r="I6" s="32"/>
    </row>
    <row r="7" spans="1:9" ht="30">
      <c r="A7" s="6" t="s">
        <v>101</v>
      </c>
      <c r="B7" s="6" t="s">
        <v>27</v>
      </c>
      <c r="C7" s="1" t="s">
        <v>105</v>
      </c>
      <c r="D7" s="27" t="s">
        <v>28</v>
      </c>
      <c r="E7" s="27" t="s">
        <v>29</v>
      </c>
      <c r="F7" s="27" t="s">
        <v>30</v>
      </c>
      <c r="G7" s="27" t="s">
        <v>31</v>
      </c>
      <c r="H7" s="27" t="s">
        <v>32</v>
      </c>
      <c r="I7" s="27" t="s">
        <v>33</v>
      </c>
    </row>
    <row r="8" spans="1:9">
      <c r="A8" s="7" t="s">
        <v>102</v>
      </c>
      <c r="B8" s="7" t="s">
        <v>1</v>
      </c>
      <c r="C8">
        <v>19.645</v>
      </c>
      <c r="D8">
        <v>5.7513474214452298</v>
      </c>
      <c r="E8">
        <v>24.508294725180399</v>
      </c>
      <c r="F8">
        <v>28.307534802977802</v>
      </c>
      <c r="G8">
        <v>19.659926777427799</v>
      </c>
      <c r="H8">
        <v>11.1144495262541</v>
      </c>
      <c r="I8">
        <v>10.6584467467144</v>
      </c>
    </row>
    <row r="9" spans="1:9">
      <c r="A9" s="7" t="s">
        <v>103</v>
      </c>
      <c r="B9" s="7" t="s">
        <v>1</v>
      </c>
      <c r="C9">
        <v>11.815</v>
      </c>
      <c r="D9">
        <v>17.7918676321232</v>
      </c>
      <c r="E9">
        <v>41.234616633977602</v>
      </c>
      <c r="F9">
        <v>23.510182935103</v>
      </c>
      <c r="G9">
        <v>10.333427905312801</v>
      </c>
      <c r="H9">
        <v>4.3017915222388003</v>
      </c>
      <c r="I9">
        <v>2.8281133712443602</v>
      </c>
    </row>
    <row r="10" spans="1:9">
      <c r="A10" s="7" t="s">
        <v>102</v>
      </c>
      <c r="B10" s="7" t="s">
        <v>107</v>
      </c>
      <c r="C10">
        <v>55.143999999999998</v>
      </c>
      <c r="D10">
        <v>8.5681033472622694</v>
      </c>
      <c r="E10">
        <v>21.928122800201201</v>
      </c>
      <c r="F10">
        <v>25.231554288060298</v>
      </c>
      <c r="G10">
        <v>19.004058862760701</v>
      </c>
      <c r="H10">
        <v>11.72766414078</v>
      </c>
      <c r="I10">
        <v>13.540496560935299</v>
      </c>
    </row>
    <row r="11" spans="1:9">
      <c r="A11" s="7" t="s">
        <v>103</v>
      </c>
      <c r="B11" s="7" t="s">
        <v>107</v>
      </c>
      <c r="C11">
        <f xml:space="preserve"> 100 - SUM(C8:C10)</f>
        <v>13.396000000000001</v>
      </c>
      <c r="D11">
        <v>27.507651692075601</v>
      </c>
      <c r="E11">
        <v>38.086025326738095</v>
      </c>
      <c r="F11">
        <v>19.6282220513787</v>
      </c>
      <c r="G11">
        <v>8.5590159416295499</v>
      </c>
      <c r="H11">
        <v>3.53555317019394</v>
      </c>
      <c r="I11">
        <v>2.6835318179840102</v>
      </c>
    </row>
  </sheetData>
  <mergeCells count="1">
    <mergeCell ref="A6:C6"/>
  </mergeCell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2:U6"/>
  <sheetViews>
    <sheetView zoomScale="75" zoomScaleNormal="75" zoomScalePageLayoutView="75" workbookViewId="0">
      <selection activeCell="XFB9" sqref="XFB9"/>
    </sheetView>
  </sheetViews>
  <sheetFormatPr baseColWidth="10" defaultColWidth="11" defaultRowHeight="15" x14ac:dyDescent="0"/>
  <cols>
    <col min="1" max="1" width="37.33203125" bestFit="1" customWidth="1"/>
    <col min="2" max="2" width="17.6640625" bestFit="1" customWidth="1"/>
  </cols>
  <sheetData>
    <row r="2" spans="1:21">
      <c r="A2" s="8" t="s">
        <v>35</v>
      </c>
      <c r="B2" s="1">
        <v>2013</v>
      </c>
      <c r="C2" s="1">
        <v>2014</v>
      </c>
      <c r="D2" s="1">
        <v>2015</v>
      </c>
      <c r="E2" s="1">
        <v>2016</v>
      </c>
      <c r="F2" s="1">
        <v>2017</v>
      </c>
      <c r="G2" s="1">
        <v>2018</v>
      </c>
      <c r="H2" s="1">
        <v>2019</v>
      </c>
      <c r="I2" s="1">
        <v>2020</v>
      </c>
      <c r="J2" s="1">
        <v>2021</v>
      </c>
      <c r="K2" s="1">
        <v>2022</v>
      </c>
      <c r="L2" s="1">
        <v>2023</v>
      </c>
      <c r="M2" s="1">
        <v>2024</v>
      </c>
      <c r="N2" s="1">
        <v>2025</v>
      </c>
      <c r="O2" s="1">
        <v>2026</v>
      </c>
      <c r="P2" s="1">
        <v>2027</v>
      </c>
      <c r="Q2" s="1">
        <v>2028</v>
      </c>
      <c r="R2" s="1">
        <v>2029</v>
      </c>
      <c r="S2" s="1">
        <v>2030</v>
      </c>
      <c r="T2" s="1">
        <v>2031</v>
      </c>
      <c r="U2" s="1">
        <v>2032</v>
      </c>
    </row>
    <row r="3" spans="1:21">
      <c r="A3" s="5" t="s">
        <v>36</v>
      </c>
      <c r="B3">
        <v>4991</v>
      </c>
      <c r="C3">
        <f xml:space="preserve"> 0.95 * B3</f>
        <v>4741.45</v>
      </c>
      <c r="D3">
        <f t="shared" ref="D3" si="0" xml:space="preserve"> 0.95 * C3</f>
        <v>4504.3774999999996</v>
      </c>
      <c r="E3">
        <f t="shared" ref="E3" si="1" xml:space="preserve"> 0.95 * D3</f>
        <v>4279.1586249999991</v>
      </c>
      <c r="F3">
        <v>5807.4295624999904</v>
      </c>
      <c r="G3">
        <f t="shared" ref="G3" si="2" xml:space="preserve"> 0.95 * F3</f>
        <v>5517.0580843749904</v>
      </c>
      <c r="H3">
        <f t="shared" ref="H3" si="3" xml:space="preserve"> 0.95 * G3</f>
        <v>5241.2051801562402</v>
      </c>
      <c r="I3">
        <f t="shared" ref="I3" si="4" xml:space="preserve"> 0.95 * H3</f>
        <v>4979.1449211484278</v>
      </c>
      <c r="J3">
        <f t="shared" ref="J3" si="5" xml:space="preserve"> 0.95 * I3</f>
        <v>4730.187675091006</v>
      </c>
      <c r="K3">
        <f t="shared" ref="K3" si="6" xml:space="preserve"> 0.95 * J3</f>
        <v>4493.6782913364559</v>
      </c>
      <c r="L3">
        <f t="shared" ref="L3" si="7" xml:space="preserve"> 0.95 * K3</f>
        <v>4268.9943767696332</v>
      </c>
      <c r="M3">
        <f t="shared" ref="M3" si="8" xml:space="preserve"> 0.95 * L3</f>
        <v>4055.5446579311515</v>
      </c>
      <c r="N3">
        <f t="shared" ref="N3" si="9" xml:space="preserve"> 0.95 * M3</f>
        <v>3852.7674250345935</v>
      </c>
      <c r="O3">
        <f t="shared" ref="O3" si="10" xml:space="preserve"> 0.95 * N3</f>
        <v>3660.1290537828636</v>
      </c>
      <c r="P3">
        <f t="shared" ref="P3" si="11" xml:space="preserve"> 0.95 * O3</f>
        <v>3477.1226010937203</v>
      </c>
      <c r="Q3">
        <f t="shared" ref="Q3" si="12" xml:space="preserve"> 0.95 * P3</f>
        <v>3303.2664710390341</v>
      </c>
      <c r="R3">
        <f t="shared" ref="R3" si="13" xml:space="preserve"> 0.95 * Q3</f>
        <v>3138.1031474870824</v>
      </c>
      <c r="S3">
        <f t="shared" ref="S3" si="14" xml:space="preserve"> 0.95 * R3</f>
        <v>2981.1979901127283</v>
      </c>
      <c r="T3">
        <f t="shared" ref="T3" si="15" xml:space="preserve"> 0.95 * S3</f>
        <v>2832.1380906070917</v>
      </c>
      <c r="U3">
        <f t="shared" ref="U3" si="16" xml:space="preserve"> 0.95 * T3</f>
        <v>2690.531186076737</v>
      </c>
    </row>
    <row r="5" spans="1:21" ht="30">
      <c r="A5" s="36" t="s">
        <v>108</v>
      </c>
    </row>
    <row r="6" spans="1:21">
      <c r="A6">
        <v>150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F44"/>
  <sheetViews>
    <sheetView tabSelected="1" topLeftCell="A17" workbookViewId="0">
      <selection activeCell="E33" sqref="E33"/>
    </sheetView>
  </sheetViews>
  <sheetFormatPr baseColWidth="10" defaultColWidth="8.83203125" defaultRowHeight="15" x14ac:dyDescent="0"/>
  <cols>
    <col min="1" max="1" width="37.5" bestFit="1" customWidth="1"/>
    <col min="2" max="2" width="19.6640625" style="9" bestFit="1" customWidth="1"/>
    <col min="3" max="3" width="11.6640625" customWidth="1"/>
    <col min="4" max="4" width="10.33203125" style="16" hidden="1" customWidth="1"/>
    <col min="6" max="6" width="11.33203125" bestFit="1" customWidth="1"/>
  </cols>
  <sheetData>
    <row r="1" spans="1:4">
      <c r="A1" s="44" t="s">
        <v>41</v>
      </c>
      <c r="B1" s="44"/>
      <c r="C1" s="28"/>
    </row>
    <row r="2" spans="1:4">
      <c r="A2" s="11" t="s">
        <v>60</v>
      </c>
      <c r="B2" s="14">
        <v>4</v>
      </c>
      <c r="C2" s="16"/>
      <c r="D2" s="16">
        <v>1</v>
      </c>
    </row>
    <row r="3" spans="1:4">
      <c r="A3" s="12" t="s">
        <v>53</v>
      </c>
      <c r="B3" s="18">
        <v>0.01</v>
      </c>
      <c r="C3" s="17"/>
      <c r="D3" s="16">
        <v>2</v>
      </c>
    </row>
    <row r="4" spans="1:4">
      <c r="A4" s="12" t="s">
        <v>54</v>
      </c>
      <c r="B4" s="18">
        <v>0.01</v>
      </c>
      <c r="C4" s="17"/>
      <c r="D4" s="16">
        <v>3</v>
      </c>
    </row>
    <row r="5" spans="1:4">
      <c r="A5" s="12" t="s">
        <v>79</v>
      </c>
      <c r="B5" s="39">
        <v>0.04</v>
      </c>
      <c r="C5" s="17"/>
      <c r="D5" s="16">
        <v>4</v>
      </c>
    </row>
    <row r="6" spans="1:4">
      <c r="A6" s="12" t="s">
        <v>80</v>
      </c>
      <c r="B6" s="39">
        <v>0</v>
      </c>
      <c r="C6" s="17"/>
      <c r="D6" s="16">
        <v>5</v>
      </c>
    </row>
    <row r="7" spans="1:4">
      <c r="A7" s="12" t="s">
        <v>109</v>
      </c>
      <c r="B7" s="37">
        <v>0</v>
      </c>
      <c r="C7" s="17"/>
      <c r="D7" s="16" t="s">
        <v>67</v>
      </c>
    </row>
    <row r="8" spans="1:4">
      <c r="A8" s="12" t="s">
        <v>110</v>
      </c>
      <c r="B8" s="37">
        <v>0</v>
      </c>
      <c r="C8" s="17"/>
    </row>
    <row r="9" spans="1:4">
      <c r="A9" s="12" t="s">
        <v>111</v>
      </c>
      <c r="B9" s="38">
        <v>0</v>
      </c>
      <c r="C9" s="17"/>
    </row>
    <row r="10" spans="1:4">
      <c r="A10" s="12" t="s">
        <v>112</v>
      </c>
      <c r="B10" s="38">
        <v>0</v>
      </c>
      <c r="C10" s="17"/>
    </row>
    <row r="11" spans="1:4">
      <c r="A11" s="10"/>
      <c r="B11" s="20"/>
      <c r="C11" s="16"/>
    </row>
    <row r="12" spans="1:4">
      <c r="A12" s="44" t="s">
        <v>42</v>
      </c>
      <c r="B12" s="44"/>
      <c r="C12" s="16"/>
    </row>
    <row r="13" spans="1:4">
      <c r="A13" s="12" t="s">
        <v>81</v>
      </c>
      <c r="B13" s="18">
        <v>0.55000000000000004</v>
      </c>
      <c r="C13" s="16"/>
    </row>
    <row r="14" spans="1:4">
      <c r="A14" s="11" t="s">
        <v>61</v>
      </c>
      <c r="B14" s="18">
        <v>1</v>
      </c>
      <c r="C14" s="16"/>
    </row>
    <row r="15" spans="1:4">
      <c r="A15" s="11" t="s">
        <v>62</v>
      </c>
      <c r="B15" s="18">
        <v>1.3</v>
      </c>
      <c r="C15" s="16"/>
    </row>
    <row r="16" spans="1:4">
      <c r="A16" s="11" t="s">
        <v>63</v>
      </c>
      <c r="B16" s="18">
        <v>2</v>
      </c>
      <c r="C16" s="24"/>
    </row>
    <row r="17" spans="1:6">
      <c r="A17" s="11" t="s">
        <v>64</v>
      </c>
      <c r="B17" s="18">
        <v>2</v>
      </c>
      <c r="C17" s="16"/>
    </row>
    <row r="18" spans="1:6">
      <c r="A18" s="10"/>
      <c r="B18" s="20"/>
      <c r="C18" s="16"/>
    </row>
    <row r="19" spans="1:6">
      <c r="A19" s="44" t="s">
        <v>43</v>
      </c>
      <c r="B19" s="44"/>
      <c r="C19" s="16"/>
    </row>
    <row r="20" spans="1:6">
      <c r="A20" s="12" t="s">
        <v>44</v>
      </c>
      <c r="B20" s="21">
        <v>0</v>
      </c>
      <c r="C20" s="16"/>
    </row>
    <row r="21" spans="1:6">
      <c r="A21" s="12" t="s">
        <v>45</v>
      </c>
      <c r="B21" s="21">
        <v>0</v>
      </c>
      <c r="C21" s="16"/>
    </row>
    <row r="22" spans="1:6">
      <c r="A22" s="10"/>
      <c r="B22" s="20"/>
      <c r="C22" s="16"/>
    </row>
    <row r="23" spans="1:6">
      <c r="A23" s="44" t="s">
        <v>46</v>
      </c>
      <c r="B23" s="44"/>
      <c r="C23" s="16"/>
    </row>
    <row r="24" spans="1:6">
      <c r="A24" s="12" t="s">
        <v>40</v>
      </c>
      <c r="B24" s="14" t="s">
        <v>65</v>
      </c>
      <c r="C24" s="16"/>
      <c r="D24" s="16" t="s">
        <v>65</v>
      </c>
    </row>
    <row r="25" spans="1:6">
      <c r="A25" s="12" t="s">
        <v>82</v>
      </c>
      <c r="B25" s="21">
        <v>0</v>
      </c>
      <c r="C25" s="16"/>
      <c r="D25" s="16" t="s">
        <v>68</v>
      </c>
    </row>
    <row r="26" spans="1:6">
      <c r="A26" s="12" t="s">
        <v>114</v>
      </c>
      <c r="B26" s="14">
        <v>0</v>
      </c>
      <c r="C26" s="10"/>
    </row>
    <row r="27" spans="1:6">
      <c r="A27" s="12" t="s">
        <v>115</v>
      </c>
      <c r="B27" s="21">
        <v>0</v>
      </c>
      <c r="C27" s="10"/>
    </row>
    <row r="28" spans="1:6">
      <c r="A28" s="12"/>
      <c r="B28" s="21"/>
      <c r="C28" s="10"/>
    </row>
    <row r="29" spans="1:6">
      <c r="A29" s="10"/>
      <c r="B29" s="20"/>
      <c r="C29" s="10"/>
    </row>
    <row r="30" spans="1:6">
      <c r="A30" s="44" t="s">
        <v>66</v>
      </c>
      <c r="B30" s="44"/>
      <c r="C30" s="13"/>
    </row>
    <row r="31" spans="1:6">
      <c r="A31" s="12" t="s">
        <v>47</v>
      </c>
      <c r="B31" s="41">
        <v>0.2</v>
      </c>
      <c r="F31" s="41"/>
    </row>
    <row r="32" spans="1:6">
      <c r="A32" s="12" t="s">
        <v>48</v>
      </c>
      <c r="B32" s="41">
        <v>0.2</v>
      </c>
      <c r="F32" s="41"/>
    </row>
    <row r="33" spans="1:6">
      <c r="A33" s="12" t="s">
        <v>49</v>
      </c>
      <c r="B33" s="41">
        <v>0.2</v>
      </c>
      <c r="D33"/>
      <c r="F33" s="41"/>
    </row>
    <row r="34" spans="1:6">
      <c r="A34" s="12" t="s">
        <v>50</v>
      </c>
      <c r="B34" s="41">
        <v>0.2</v>
      </c>
      <c r="D34"/>
      <c r="F34" s="41"/>
    </row>
    <row r="35" spans="1:6">
      <c r="A35" s="12" t="s">
        <v>51</v>
      </c>
      <c r="B35" s="41">
        <v>0.2</v>
      </c>
      <c r="D35"/>
      <c r="F35" s="41"/>
    </row>
    <row r="36" spans="1:6">
      <c r="A36" s="12" t="s">
        <v>52</v>
      </c>
      <c r="B36" s="22">
        <v>0</v>
      </c>
      <c r="D36"/>
    </row>
    <row r="37" spans="1:6">
      <c r="A37" s="10"/>
      <c r="B37" s="23"/>
      <c r="C37" s="10"/>
      <c r="D37"/>
    </row>
    <row r="38" spans="1:6">
      <c r="A38" s="44" t="s">
        <v>113</v>
      </c>
      <c r="B38" s="44"/>
    </row>
    <row r="39" spans="1:6">
      <c r="A39" s="12" t="s">
        <v>116</v>
      </c>
      <c r="B39" s="19">
        <v>0.13</v>
      </c>
    </row>
    <row r="40" spans="1:6">
      <c r="A40" s="12" t="s">
        <v>117</v>
      </c>
      <c r="B40" s="19">
        <v>0.16</v>
      </c>
    </row>
    <row r="41" spans="1:6">
      <c r="A41" s="12" t="s">
        <v>118</v>
      </c>
      <c r="B41" s="19">
        <v>0.27</v>
      </c>
    </row>
    <row r="42" spans="1:6">
      <c r="A42" s="12" t="s">
        <v>119</v>
      </c>
      <c r="B42" s="19">
        <v>0.31</v>
      </c>
    </row>
    <row r="43" spans="1:6">
      <c r="A43" s="12" t="s">
        <v>120</v>
      </c>
      <c r="B43" s="19">
        <v>0.31</v>
      </c>
    </row>
    <row r="44" spans="1:6">
      <c r="A44" s="12" t="s">
        <v>121</v>
      </c>
      <c r="B44" s="19">
        <v>3.5000000000000003E-2</v>
      </c>
    </row>
  </sheetData>
  <mergeCells count="6">
    <mergeCell ref="A38:B38"/>
    <mergeCell ref="A1:B1"/>
    <mergeCell ref="A12:B12"/>
    <mergeCell ref="A19:B19"/>
    <mergeCell ref="A23:B23"/>
    <mergeCell ref="A30:B30"/>
  </mergeCells>
  <dataValidations count="2">
    <dataValidation type="list" allowBlank="1" showInputMessage="1" showErrorMessage="1" sqref="B24">
      <formula1>$D$24:$D$25</formula1>
    </dataValidation>
    <dataValidation type="list" allowBlank="1" showInputMessage="1" showErrorMessage="1" sqref="B2">
      <formula1>$D$2:$D$7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B8"/>
  <sheetViews>
    <sheetView workbookViewId="0">
      <selection activeCell="B13" sqref="B13"/>
    </sheetView>
  </sheetViews>
  <sheetFormatPr baseColWidth="10" defaultColWidth="8.83203125" defaultRowHeight="15" x14ac:dyDescent="0"/>
  <cols>
    <col min="1" max="1" width="51.1640625" bestFit="1" customWidth="1"/>
    <col min="2" max="2" width="22" customWidth="1"/>
  </cols>
  <sheetData>
    <row r="1" spans="1:2">
      <c r="A1" s="1" t="s">
        <v>55</v>
      </c>
      <c r="B1" s="15">
        <v>8.2049999999999998E-2</v>
      </c>
    </row>
    <row r="2" spans="1:2">
      <c r="A2" s="1" t="s">
        <v>56</v>
      </c>
      <c r="B2" s="15">
        <v>8.2049999999999998E-2</v>
      </c>
    </row>
    <row r="3" spans="1:2">
      <c r="A3" s="1" t="s">
        <v>57</v>
      </c>
      <c r="B3" s="15">
        <v>8.2049999999999998E-2</v>
      </c>
    </row>
    <row r="4" spans="1:2">
      <c r="A4" s="1" t="s">
        <v>58</v>
      </c>
      <c r="B4" s="15">
        <v>8.2049999999999998E-2</v>
      </c>
    </row>
    <row r="5" spans="1:2">
      <c r="A5" s="1" t="s">
        <v>59</v>
      </c>
      <c r="B5" s="15">
        <v>8.2049999999999998E-2</v>
      </c>
    </row>
    <row r="6" spans="1:2">
      <c r="A6" s="1" t="s">
        <v>83</v>
      </c>
      <c r="B6" s="15">
        <v>2743400485</v>
      </c>
    </row>
    <row r="7" spans="1:2">
      <c r="A7" s="29"/>
      <c r="B7" s="15"/>
    </row>
    <row r="8" spans="1:2">
      <c r="A8" s="29"/>
      <c r="B8" s="15"/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Climates, Rates, Adoption Model</vt:lpstr>
      <vt:lpstr>Category_Names</vt:lpstr>
      <vt:lpstr>PV Parameters</vt:lpstr>
      <vt:lpstr>Tariff Structures</vt:lpstr>
      <vt:lpstr>Utility Costs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Anish</dc:creator>
  <cp:lastModifiedBy>Anish</cp:lastModifiedBy>
  <dcterms:created xsi:type="dcterms:W3CDTF">2013-09-29T01:50:33Z</dcterms:created>
  <dcterms:modified xsi:type="dcterms:W3CDTF">2014-01-18T20:19:28Z</dcterms:modified>
</cp:coreProperties>
</file>