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0" yWindow="0" windowWidth="25600" windowHeight="14060" tabRatio="861"/>
  </bookViews>
  <sheets>
    <sheet name="Executive_Summary" sheetId="8" r:id="rId1"/>
    <sheet name="Annual_Utility_Tier_Prices" sheetId="9" r:id="rId2"/>
    <sheet name="PV_Parameters" sheetId="4" r:id="rId3"/>
    <sheet name="Category_Names" sheetId="5" r:id="rId4"/>
    <sheet name="Adoption_Model" sheetId="2" r:id="rId5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" i="9" l="1"/>
  <c r="C12" i="9"/>
  <c r="D12" i="9"/>
  <c r="E12" i="9"/>
  <c r="F12" i="9"/>
  <c r="G12" i="9"/>
  <c r="H12" i="9"/>
  <c r="I12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J12" i="9"/>
  <c r="K12" i="9"/>
  <c r="L12" i="9"/>
  <c r="M12" i="9"/>
  <c r="N12" i="9"/>
  <c r="O12" i="9"/>
  <c r="P12" i="9"/>
  <c r="Q12" i="9"/>
  <c r="R12" i="9"/>
  <c r="S12" i="9"/>
  <c r="T12" i="9"/>
  <c r="U12" i="9"/>
  <c r="B17" i="9"/>
  <c r="B14" i="9"/>
  <c r="B15" i="9"/>
  <c r="B16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C2" i="5"/>
  <c r="J20" i="5"/>
  <c r="J19" i="5"/>
  <c r="J18" i="5"/>
  <c r="J17" i="5"/>
  <c r="C14" i="5"/>
  <c r="C5" i="5"/>
  <c r="C56" i="8"/>
  <c r="C49" i="8"/>
  <c r="C48" i="8"/>
  <c r="C32" i="8"/>
  <c r="C33" i="8"/>
  <c r="C34" i="8"/>
  <c r="C35" i="8"/>
  <c r="C36" i="8"/>
  <c r="C31" i="8"/>
  <c r="C11" i="5"/>
  <c r="A5" i="5"/>
  <c r="K9" i="5"/>
  <c r="J10" i="5"/>
  <c r="K10" i="5"/>
  <c r="J11" i="5"/>
  <c r="K11" i="5"/>
  <c r="K8" i="5"/>
  <c r="B6" i="4"/>
  <c r="C6" i="4"/>
  <c r="C3" i="4"/>
  <c r="D6" i="4"/>
  <c r="D3" i="4"/>
  <c r="E6" i="4"/>
  <c r="E3" i="4"/>
  <c r="F6" i="4"/>
  <c r="F3" i="4"/>
  <c r="G6" i="4"/>
  <c r="G3" i="4"/>
  <c r="H6" i="4"/>
  <c r="H3" i="4"/>
  <c r="I6" i="4"/>
  <c r="I3" i="4"/>
  <c r="J6" i="4"/>
  <c r="J3" i="4"/>
  <c r="K6" i="4"/>
  <c r="K3" i="4"/>
  <c r="L6" i="4"/>
  <c r="L3" i="4"/>
  <c r="M6" i="4"/>
  <c r="M3" i="4"/>
  <c r="N6" i="4"/>
  <c r="N3" i="4"/>
  <c r="O6" i="4"/>
  <c r="O3" i="4"/>
  <c r="P6" i="4"/>
  <c r="P3" i="4"/>
  <c r="Q6" i="4"/>
  <c r="Q3" i="4"/>
  <c r="R6" i="4"/>
  <c r="R3" i="4"/>
  <c r="S6" i="4"/>
  <c r="S3" i="4"/>
  <c r="T6" i="4"/>
  <c r="T3" i="4"/>
  <c r="U6" i="4"/>
  <c r="U3" i="4"/>
  <c r="B3" i="4"/>
  <c r="A2" i="5"/>
</calcChain>
</file>

<file path=xl/sharedStrings.xml><?xml version="1.0" encoding="utf-8"?>
<sst xmlns="http://schemas.openxmlformats.org/spreadsheetml/2006/main" count="201" uniqueCount="151">
  <si>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</si>
  <si>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</si>
  <si>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</si>
  <si>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</si>
  <si>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</si>
  <si>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</si>
  <si>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</si>
  <si>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</si>
  <si>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</si>
  <si>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</si>
  <si>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</si>
  <si>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</si>
  <si>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</si>
  <si>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</si>
  <si>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</si>
  <si>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</si>
  <si>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</si>
  <si>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</si>
  <si>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</si>
  <si>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</si>
  <si>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</si>
  <si>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</si>
  <si>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</si>
  <si>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</si>
  <si>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</si>
  <si>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</si>
  <si>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</si>
  <si>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</si>
  <si>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</si>
  <si>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</si>
  <si>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</si>
  <si>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</si>
  <si>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</si>
  <si>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</si>
  <si>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</si>
  <si>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</si>
  <si>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</si>
  <si>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</si>
  <si>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</si>
  <si>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</si>
  <si>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</si>
  <si>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</si>
  <si>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</si>
  <si>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</si>
  <si>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</si>
  <si>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</si>
  <si>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</si>
  <si>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</si>
  <si>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</si>
  <si>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</si>
  <si>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</si>
  <si>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</si>
  <si>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</si>
  <si>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</si>
  <si>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</si>
  <si>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</si>
  <si>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</si>
  <si>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</si>
  <si>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</si>
  <si>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</si>
  <si>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</si>
  <si>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</si>
  <si>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</si>
  <si>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</si>
  <si>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</si>
  <si>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</si>
  <si>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</si>
  <si>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</si>
  <si>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</si>
  <si>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</si>
  <si>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</si>
  <si>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</si>
  <si>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</si>
  <si>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</si>
  <si>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</si>
  <si>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</si>
  <si>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</si>
  <si>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</si>
  <si>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</si>
  <si>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</si>
  <si>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</si>
  <si>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</si>
  <si>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</si>
  <si>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</si>
  <si>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</si>
  <si>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</si>
  <si>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</si>
  <si>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</si>
  <si>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</si>
  <si>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</si>
  <si>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</si>
  <si>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</si>
  <si>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</si>
  <si>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</si>
  <si>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</si>
  <si>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</si>
  <si>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</si>
  <si>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</si>
  <si>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</si>
  <si>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</si>
  <si>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</si>
  <si>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</si>
  <si>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</si>
  <si>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</si>
  <si>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</si>
  <si>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</si>
  <si>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</si>
  <si>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</si>
  <si>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</si>
  <si>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</si>
  <si>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</si>
  <si>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</si>
  <si>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</si>
  <si>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</si>
  <si>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</si>
  <si>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</si>
  <si>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</si>
  <si>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</si>
  <si>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</si>
  <si>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</si>
  <si>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</si>
  <si>
    <t>PV Rates</t>
  </si>
  <si>
    <t>2013 Price of PV ($/kW)</t>
  </si>
  <si>
    <t>Percentage Annual PV Drop in Price (%)</t>
  </si>
  <si>
    <t>Start Year</t>
  </si>
  <si>
    <t>PV Subsidy (%)</t>
  </si>
  <si>
    <t>End year</t>
  </si>
  <si>
    <t>Utility Service Region</t>
  </si>
  <si>
    <t>Total Customers Served</t>
  </si>
  <si>
    <t>Annual Revenue Requirement ($)</t>
  </si>
  <si>
    <t>Cost of PV per kW ($)</t>
  </si>
  <si>
    <t>Cost of PV without Subsidy ($)</t>
  </si>
  <si>
    <t>Customers Ineligible for PV due to Shading  (%)</t>
  </si>
  <si>
    <t>Sum Aggregate Percentage</t>
  </si>
  <si>
    <t>Sum Percentage per Category</t>
  </si>
  <si>
    <t>Cusomter in Consumption Bin</t>
  </si>
  <si>
    <t>Average PV Size Adopted</t>
  </si>
  <si>
    <t>Simulation Run Time (Months)</t>
  </si>
  <si>
    <t>Initial Number of Adopters</t>
  </si>
  <si>
    <t>Number of Customers that cannot Adopt PV due to Shading (%)</t>
  </si>
  <si>
    <t>Category Names &amp; Percentage Population of SOLAR customers</t>
  </si>
  <si>
    <t xml:space="preserve">                                                            Percentage in each consumption bin for each category of SOLAR customers</t>
  </si>
  <si>
    <t>Total Solar Adopters</t>
  </si>
  <si>
    <t xml:space="preserve">Annual Revene Requirement </t>
  </si>
  <si>
    <t>Annual Tier Prices ($/Kwh)</t>
  </si>
  <si>
    <t>Tier 1 Rate</t>
  </si>
  <si>
    <t>Tier 2 Rate</t>
  </si>
  <si>
    <t>Tier 3 Rate</t>
  </si>
  <si>
    <t>Tier 4 Rate</t>
  </si>
  <si>
    <t>Tier 5 Rate</t>
  </si>
  <si>
    <t>Net Surplus Compensation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</si>
</sst>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  <numFmt numFmtId="169" formatCode="0.000%"/>
    <numFmt numFmtId="170" formatCode="0.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</font>
    <font>
      <b/>
      <sz val="12"/>
      <color rgb="FFFF0000"/>
      <name val="Calibri"/>
      <scheme val="minor"/>
    </font>
    <font>
      <b/>
      <sz val="12"/>
      <name val="Calibri"/>
      <scheme val="minor"/>
    </font>
    <font>
      <b/>
      <sz val="12"/>
      <color rgb="FF000000"/>
      <name val="Calibri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538DD5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8DB4E2"/>
        <bgColor rgb="FF000000"/>
      </patternFill>
    </fill>
  </fills>
  <borders count="1">
    <border>
      <left/>
      <right/>
      <top/>
      <bottom/>
      <diagonal/>
    </border>
  </borders>
  <cellStyleXfs count="26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1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6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1" fillId="7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6" borderId="0" xfId="0" applyFont="1" applyFill="1"/>
    <xf numFmtId="0" fontId="1" fillId="4" borderId="0" xfId="0" applyFont="1" applyFill="1"/>
    <xf numFmtId="0" fontId="8" fillId="9" borderId="0" xfId="0" applyFont="1" applyFill="1"/>
    <xf numFmtId="169" fontId="0" fillId="0" borderId="0" xfId="0" applyNumberFormat="1" applyBorder="1" applyAlignment="1">
      <alignment horizontal="left"/>
    </xf>
    <xf numFmtId="170" fontId="0" fillId="2" borderId="0" xfId="0" applyNumberFormat="1" applyFill="1"/>
    <xf numFmtId="0" fontId="0" fillId="2" borderId="0" xfId="0" applyFont="1" applyFill="1"/>
    <xf numFmtId="169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 applyProtection="1">
      <alignment horizontal="left"/>
    </xf>
    <xf numFmtId="0" fontId="9" fillId="0" borderId="0" xfId="0" applyFont="1"/>
    <xf numFmtId="0" fontId="5" fillId="10" borderId="0" xfId="0" applyFont="1" applyFill="1" applyAlignment="1">
      <alignment wrapText="1"/>
    </xf>
    <xf numFmtId="2" fontId="0" fillId="0" borderId="0" xfId="0" applyNumberFormat="1"/>
    <xf numFmtId="0" fontId="8" fillId="3" borderId="0" xfId="0" applyFont="1" applyFill="1"/>
    <xf numFmtId="1" fontId="0" fillId="0" borderId="0" xfId="0" applyNumberFormat="1"/>
    <xf numFmtId="0" fontId="1" fillId="2" borderId="0" xfId="0" applyFont="1" applyFill="1" applyAlignment="1">
      <alignment wrapText="1"/>
    </xf>
    <xf numFmtId="10" fontId="0" fillId="0" borderId="0" xfId="0" applyNumberFormat="1"/>
    <xf numFmtId="0" fontId="9" fillId="12" borderId="0" xfId="0" applyFont="1" applyFill="1"/>
    <xf numFmtId="0" fontId="5" fillId="13" borderId="0" xfId="0" applyFont="1" applyFill="1" applyAlignment="1">
      <alignment wrapText="1"/>
    </xf>
    <xf numFmtId="0" fontId="5" fillId="14" borderId="0" xfId="0" applyFont="1" applyFill="1" applyAlignment="1">
      <alignment wrapText="1"/>
    </xf>
    <xf numFmtId="0" fontId="1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5" fillId="11" borderId="0" xfId="0" applyFont="1" applyFill="1" applyAlignment="1">
      <alignment horizontal="center"/>
    </xf>
  </cellXfs>
  <cellStyles count="26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8"/>
  <sheetViews>
    <sheetView tabSelected="1" workbookViewId="0">
      <selection activeCell="E12" sqref="E12"/>
    </sheetView>
  </sheetViews>
  <sheetFormatPr baseColWidth="10" defaultColWidth="8.83203125" defaultRowHeight="15" x14ac:dyDescent="0"/>
  <cols>
    <col min="1" max="1" width="39.33203125" bestFit="1" customWidth="1"/>
    <col min="2" max="2" width="19.6640625" style="7" bestFit="1" customWidth="1"/>
    <col min="3" max="3" width="11.6640625" customWidth="1"/>
    <col min="4" max="4" width="10.33203125" style="14" hidden="1" customWidth="1"/>
    <col min="5" max="5" width="34.1640625" bestFit="1" customWidth="1"/>
    <col min="6" max="6" width="26.6640625" bestFit="1" customWidth="1"/>
    <col min="8" max="8" width="26.6640625" bestFit="1" customWidth="1"/>
    <col min="10" max="10" width="26.6640625" bestFit="1" customWidth="1"/>
  </cols>
  <sheetData>
    <row r="1" spans="1:8">
      <c r="A1" s="59" t="s">
        <v>40</v>
      </c>
      <c r="B1" s="59"/>
      <c r="C1" s="24"/>
      <c r="E1" s="59" t="s">
        <v>112</v>
      </c>
      <c r="F1" s="59"/>
      <c r="H1" s="52" t="s">
        <v>137</v>
      </c>
    </row>
    <row r="2" spans="1:8">
      <c r="A2" s="9" t="s">
        <v>59</v>
      </c>
      <c r="B2" s="12" t="s">
        <v>66</v>
      </c>
      <c r="C2" s="14"/>
      <c r="D2" s="14">
        <v>1</v>
      </c>
      <c r="E2" s="10" t="s">
        <v>115</v>
      </c>
      <c r="F2" s="17">
        <v>0.13</v>
      </c>
      <c r="H2" s="53">
        <v>36</v>
      </c>
    </row>
    <row r="3" spans="1:8">
      <c r="A3" s="10" t="s">
        <v>52</v>
      </c>
      <c r="B3" s="16">
        <v>0.01</v>
      </c>
      <c r="C3" s="15"/>
      <c r="D3" s="14">
        <v>2</v>
      </c>
      <c r="E3" s="10" t="s">
        <v>116</v>
      </c>
      <c r="F3" s="17">
        <v>0.16</v>
      </c>
    </row>
    <row r="4" spans="1:8">
      <c r="A4" s="10" t="s">
        <v>53</v>
      </c>
      <c r="B4" s="16">
        <v>0.01</v>
      </c>
      <c r="C4" s="15"/>
      <c r="D4" s="14">
        <v>3</v>
      </c>
      <c r="E4" s="10" t="s">
        <v>117</v>
      </c>
      <c r="F4" s="17">
        <v>0.27</v>
      </c>
      <c r="H4" s="52" t="s">
        <v>138</v>
      </c>
    </row>
    <row r="5" spans="1:8">
      <c r="A5" s="10" t="s">
        <v>78</v>
      </c>
      <c r="B5" s="32">
        <v>0.04</v>
      </c>
      <c r="C5" s="15"/>
      <c r="D5" s="14">
        <v>4</v>
      </c>
      <c r="E5" s="10" t="s">
        <v>118</v>
      </c>
      <c r="F5" s="17">
        <v>0.31</v>
      </c>
      <c r="H5" s="53">
        <v>20000</v>
      </c>
    </row>
    <row r="6" spans="1:8">
      <c r="A6" s="10" t="s">
        <v>79</v>
      </c>
      <c r="B6" s="32">
        <v>0</v>
      </c>
      <c r="C6" s="15"/>
      <c r="D6" s="14">
        <v>5</v>
      </c>
      <c r="E6" s="10" t="s">
        <v>119</v>
      </c>
      <c r="F6" s="17">
        <v>0.31</v>
      </c>
    </row>
    <row r="7" spans="1:8">
      <c r="A7" s="10" t="s">
        <v>108</v>
      </c>
      <c r="B7" s="30">
        <v>1</v>
      </c>
      <c r="C7" s="15"/>
      <c r="D7" s="14" t="s">
        <v>66</v>
      </c>
      <c r="E7" s="10" t="s">
        <v>120</v>
      </c>
      <c r="F7" s="17">
        <v>3.5000000000000003E-2</v>
      </c>
    </row>
    <row r="8" spans="1:8">
      <c r="A8" s="10" t="s">
        <v>109</v>
      </c>
      <c r="B8" s="30">
        <v>1</v>
      </c>
      <c r="C8" s="15"/>
    </row>
    <row r="9" spans="1:8">
      <c r="A9" s="10" t="s">
        <v>110</v>
      </c>
      <c r="B9" s="31">
        <v>1</v>
      </c>
      <c r="C9" s="15"/>
    </row>
    <row r="10" spans="1:8">
      <c r="A10" s="10" t="s">
        <v>111</v>
      </c>
      <c r="B10" s="31">
        <v>1</v>
      </c>
      <c r="C10" s="15"/>
    </row>
    <row r="11" spans="1:8">
      <c r="A11" s="8"/>
      <c r="B11" s="18"/>
      <c r="C11" s="14"/>
    </row>
    <row r="12" spans="1:8">
      <c r="A12" s="59" t="s">
        <v>41</v>
      </c>
      <c r="B12" s="59"/>
      <c r="C12" s="14"/>
    </row>
    <row r="13" spans="1:8">
      <c r="A13" s="10" t="s">
        <v>80</v>
      </c>
      <c r="B13" s="16">
        <v>0.55000000000000004</v>
      </c>
      <c r="C13" s="14"/>
    </row>
    <row r="14" spans="1:8">
      <c r="A14" s="9" t="s">
        <v>60</v>
      </c>
      <c r="B14" s="16">
        <v>1</v>
      </c>
      <c r="C14" s="14"/>
    </row>
    <row r="15" spans="1:8">
      <c r="A15" s="9" t="s">
        <v>61</v>
      </c>
      <c r="B15" s="16">
        <v>1.3</v>
      </c>
      <c r="C15" s="14"/>
    </row>
    <row r="16" spans="1:8">
      <c r="A16" s="9" t="s">
        <v>62</v>
      </c>
      <c r="B16" s="16">
        <v>2</v>
      </c>
      <c r="C16" s="22"/>
    </row>
    <row r="17" spans="1:6">
      <c r="A17" s="9" t="s">
        <v>63</v>
      </c>
      <c r="B17" s="16">
        <v>2</v>
      </c>
      <c r="C17" s="14"/>
    </row>
    <row r="18" spans="1:6">
      <c r="A18" s="8"/>
      <c r="B18" s="18"/>
      <c r="C18" s="14"/>
    </row>
    <row r="19" spans="1:6">
      <c r="A19" s="59" t="s">
        <v>42</v>
      </c>
      <c r="B19" s="59"/>
      <c r="C19" s="14"/>
    </row>
    <row r="20" spans="1:6">
      <c r="A20" s="10" t="s">
        <v>43</v>
      </c>
      <c r="B20" s="19">
        <v>0</v>
      </c>
      <c r="C20" s="14"/>
    </row>
    <row r="21" spans="1:6">
      <c r="A21" s="10" t="s">
        <v>44</v>
      </c>
      <c r="B21" s="19">
        <v>0</v>
      </c>
      <c r="C21" s="14"/>
    </row>
    <row r="22" spans="1:6">
      <c r="A22" s="8"/>
      <c r="B22" s="18"/>
      <c r="C22" s="14"/>
    </row>
    <row r="23" spans="1:6">
      <c r="A23" s="59" t="s">
        <v>45</v>
      </c>
      <c r="B23" s="59"/>
      <c r="C23" s="14"/>
    </row>
    <row r="24" spans="1:6">
      <c r="A24" s="10" t="s">
        <v>39</v>
      </c>
      <c r="B24" s="12" t="s">
        <v>64</v>
      </c>
      <c r="C24" s="14"/>
      <c r="D24" s="14" t="s">
        <v>64</v>
      </c>
    </row>
    <row r="25" spans="1:6">
      <c r="A25" s="10" t="s">
        <v>81</v>
      </c>
      <c r="B25" s="19">
        <v>0</v>
      </c>
      <c r="C25" s="14"/>
      <c r="D25" s="14" t="s">
        <v>67</v>
      </c>
    </row>
    <row r="26" spans="1:6">
      <c r="A26" s="10" t="s">
        <v>113</v>
      </c>
      <c r="B26" s="12">
        <v>0</v>
      </c>
      <c r="C26" s="8"/>
    </row>
    <row r="27" spans="1:6">
      <c r="A27" s="10" t="s">
        <v>114</v>
      </c>
      <c r="B27" s="19">
        <v>0</v>
      </c>
      <c r="C27" s="8"/>
    </row>
    <row r="28" spans="1:6">
      <c r="A28" s="10"/>
      <c r="B28" s="19"/>
      <c r="C28" s="8"/>
    </row>
    <row r="29" spans="1:6">
      <c r="A29" s="8"/>
      <c r="B29" s="18"/>
      <c r="C29" s="8"/>
    </row>
    <row r="30" spans="1:6">
      <c r="A30" s="59" t="s">
        <v>65</v>
      </c>
      <c r="B30" s="59"/>
      <c r="C30" s="11"/>
    </row>
    <row r="31" spans="1:6">
      <c r="A31" s="10" t="s">
        <v>46</v>
      </c>
      <c r="B31" s="34">
        <v>0.2</v>
      </c>
      <c r="C31" t="str">
        <f xml:space="preserve"> IF(OR(B31 &gt;100%, B31 &lt; 0%), Check_btw_100percent(), "")</f>
        <v/>
      </c>
      <c r="F31" s="34"/>
    </row>
    <row r="32" spans="1:6">
      <c r="A32" s="10" t="s">
        <v>47</v>
      </c>
      <c r="B32" s="34">
        <v>0.2</v>
      </c>
      <c r="C32" t="str">
        <f xml:space="preserve"> IF(OR(B32 &gt;100%, B32 &lt; 0%), Check_btw_100percent(), "")</f>
        <v/>
      </c>
      <c r="F32" s="34"/>
    </row>
    <row r="33" spans="1:6">
      <c r="A33" s="10" t="s">
        <v>48</v>
      </c>
      <c r="B33" s="34">
        <v>0.2</v>
      </c>
      <c r="C33" t="str">
        <f xml:space="preserve"> IF(OR(B33 &gt;100%, B33 &lt; 0%), Check_btw_100percent(), "")</f>
        <v/>
      </c>
      <c r="D33"/>
      <c r="F33" s="34"/>
    </row>
    <row r="34" spans="1:6">
      <c r="A34" s="10" t="s">
        <v>49</v>
      </c>
      <c r="B34" s="34">
        <v>0.2</v>
      </c>
      <c r="C34" t="str">
        <f xml:space="preserve"> IF(OR(B34 &gt;100%, B34 &lt; 0%), Check_btw_100percent(), "")</f>
        <v/>
      </c>
      <c r="D34"/>
      <c r="F34" s="34"/>
    </row>
    <row r="35" spans="1:6">
      <c r="A35" s="10" t="s">
        <v>50</v>
      </c>
      <c r="B35" s="34">
        <v>0.2</v>
      </c>
      <c r="C35" t="str">
        <f xml:space="preserve"> IF(OR(B35 &gt;100%, B35 &lt; 0%), Check_btw_100percent(), "")</f>
        <v/>
      </c>
      <c r="D35"/>
      <c r="F35" s="34"/>
    </row>
    <row r="36" spans="1:6">
      <c r="A36" s="10" t="s">
        <v>51</v>
      </c>
      <c r="B36" s="20">
        <v>0</v>
      </c>
      <c r="C36" t="str">
        <f xml:space="preserve"> IF(OR(B36 &gt;100%, B36 &lt; 0%), Check_btw_100percent(), "")</f>
        <v/>
      </c>
      <c r="D36"/>
    </row>
    <row r="37" spans="1:6">
      <c r="A37" s="8"/>
      <c r="B37" s="21"/>
      <c r="C37" s="8"/>
      <c r="D37"/>
    </row>
    <row r="38" spans="1:6">
      <c r="A38" s="59" t="s">
        <v>121</v>
      </c>
      <c r="B38" s="60"/>
    </row>
    <row r="39" spans="1:6">
      <c r="A39" s="10" t="s">
        <v>122</v>
      </c>
      <c r="B39" s="17">
        <v>7130</v>
      </c>
    </row>
    <row r="40" spans="1:6">
      <c r="A40" s="10" t="s">
        <v>123</v>
      </c>
      <c r="B40" s="43">
        <v>0.05</v>
      </c>
    </row>
    <row r="41" spans="1:6">
      <c r="A41" s="10" t="s">
        <v>125</v>
      </c>
      <c r="B41" s="46">
        <v>0.3</v>
      </c>
    </row>
    <row r="42" spans="1:6">
      <c r="A42" s="45" t="s">
        <v>124</v>
      </c>
      <c r="B42" s="47">
        <v>2013</v>
      </c>
    </row>
    <row r="43" spans="1:6">
      <c r="A43" s="44" t="s">
        <v>126</v>
      </c>
      <c r="B43" s="47">
        <v>2017</v>
      </c>
    </row>
    <row r="45" spans="1:6">
      <c r="A45" s="59" t="s">
        <v>127</v>
      </c>
      <c r="B45" s="59"/>
    </row>
    <row r="46" spans="1:6">
      <c r="A46" s="10" t="s">
        <v>128</v>
      </c>
      <c r="B46" s="48">
        <v>4116775</v>
      </c>
    </row>
    <row r="47" spans="1:6">
      <c r="A47" s="10" t="s">
        <v>129</v>
      </c>
      <c r="B47" s="13">
        <v>2743400485</v>
      </c>
    </row>
    <row r="48" spans="1:6">
      <c r="A48" s="10" t="s">
        <v>132</v>
      </c>
      <c r="B48" s="46">
        <v>0.3</v>
      </c>
      <c r="C48" t="str">
        <f xml:space="preserve"> IF(OR(B40 &gt;100%, B40 &lt; 0%), Check_btw_100percent(), "")</f>
        <v/>
      </c>
    </row>
    <row r="49" spans="2:4">
      <c r="C49" t="str">
        <f xml:space="preserve"> IF(OR(B41 &gt;100%, B41 &lt; 0%), Check_btw_100percent(), "")</f>
        <v/>
      </c>
    </row>
    <row r="50" spans="2:4">
      <c r="D50"/>
    </row>
    <row r="51" spans="2:4">
      <c r="D51"/>
    </row>
    <row r="55" spans="2:4">
      <c r="D55"/>
    </row>
    <row r="56" spans="2:4">
      <c r="C56" t="str">
        <f xml:space="preserve"> IF(OR(B48 &gt;100%, B48 &lt; 0%), Check_btw_100percent(), "")</f>
        <v/>
      </c>
      <c r="D56"/>
    </row>
    <row r="57" spans="2:4">
      <c r="B57"/>
      <c r="D57"/>
    </row>
    <row r="58" spans="2:4">
      <c r="B58"/>
      <c r="D58"/>
    </row>
  </sheetData>
  <mergeCells count="8">
    <mergeCell ref="A45:B45"/>
    <mergeCell ref="E1:F1"/>
    <mergeCell ref="A1:B1"/>
    <mergeCell ref="A12:B12"/>
    <mergeCell ref="A19:B19"/>
    <mergeCell ref="A23:B23"/>
    <mergeCell ref="A30:B30"/>
    <mergeCell ref="A38:B38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17"/>
  <sheetViews>
    <sheetView workbookViewId="0">
      <selection activeCell="A2" sqref="A2:B5"/>
    </sheetView>
  </sheetViews>
  <sheetFormatPr baseColWidth="10" defaultColWidth="8.83203125" defaultRowHeight="15" x14ac:dyDescent="0"/>
  <cols>
    <col min="1" max="1" width="50.83203125" bestFit="1" customWidth="1"/>
    <col min="2" max="21" width="19.5" bestFit="1" customWidth="1"/>
  </cols>
  <sheetData>
    <row r="1" spans="1:21">
      <c r="A1" s="1" t="s">
        <v>54</v>
      </c>
      <c r="B1" s="13">
        <v>8.2049999999999998E-2</v>
      </c>
    </row>
    <row r="2" spans="1:21">
      <c r="A2" s="1" t="s">
        <v>55</v>
      </c>
      <c r="B2" s="13">
        <v>8.2049999999999998E-2</v>
      </c>
    </row>
    <row r="3" spans="1:21">
      <c r="A3" s="1" t="s">
        <v>56</v>
      </c>
      <c r="B3" s="13">
        <v>8.2049999999999998E-2</v>
      </c>
    </row>
    <row r="4" spans="1:21">
      <c r="A4" s="1" t="s">
        <v>57</v>
      </c>
      <c r="B4" s="13">
        <v>8.2049999999999998E-2</v>
      </c>
    </row>
    <row r="5" spans="1:21">
      <c r="A5" s="1" t="s">
        <v>58</v>
      </c>
      <c r="B5" s="13">
        <v>8.2049999999999998E-2</v>
      </c>
    </row>
    <row r="7" spans="1:21">
      <c r="A7" s="25"/>
      <c r="B7" s="13"/>
    </row>
    <row r="8" spans="1:21">
      <c r="A8" s="6" t="s">
        <v>143</v>
      </c>
      <c r="B8" s="1">
        <v>2013</v>
      </c>
      <c r="C8" s="1">
        <v>2014</v>
      </c>
      <c r="D8" s="1">
        <v>2015</v>
      </c>
      <c r="E8" s="1">
        <v>2016</v>
      </c>
      <c r="F8" s="1">
        <v>2017</v>
      </c>
      <c r="G8" s="1">
        <v>2018</v>
      </c>
      <c r="H8" s="1">
        <v>2019</v>
      </c>
      <c r="I8" s="1">
        <v>2020</v>
      </c>
      <c r="J8" s="1">
        <v>2021</v>
      </c>
      <c r="K8" s="1">
        <v>2022</v>
      </c>
      <c r="L8" s="1">
        <v>2023</v>
      </c>
      <c r="M8" s="1">
        <v>2024</v>
      </c>
      <c r="N8" s="1">
        <v>2025</v>
      </c>
      <c r="O8" s="1">
        <v>2026</v>
      </c>
      <c r="P8" s="1">
        <v>2027</v>
      </c>
      <c r="Q8" s="1">
        <v>2028</v>
      </c>
      <c r="R8" s="1">
        <v>2029</v>
      </c>
      <c r="S8" s="1">
        <v>2030</v>
      </c>
      <c r="T8" s="1">
        <v>2031</v>
      </c>
      <c r="U8" s="1">
        <v>2032</v>
      </c>
    </row>
    <row r="9" spans="1:21">
      <c r="A9" s="25" t="s">
        <v>82</v>
      </c>
      <c r="B9" s="13">
        <f xml:space="preserve"> Executive_Summary!B47</f>
        <v>2743400485</v>
      </c>
      <c r="C9" s="13">
        <f xml:space="preserve"> B9</f>
        <v>2743400485</v>
      </c>
      <c r="D9" s="13">
        <f t="shared" ref="D9:U9" si="0" xml:space="preserve"> C9</f>
        <v>2743400485</v>
      </c>
      <c r="E9" s="13">
        <f t="shared" si="0"/>
        <v>2743400485</v>
      </c>
      <c r="F9" s="13">
        <f t="shared" si="0"/>
        <v>2743400485</v>
      </c>
      <c r="G9" s="13">
        <f t="shared" si="0"/>
        <v>2743400485</v>
      </c>
      <c r="H9" s="13">
        <f t="shared" si="0"/>
        <v>2743400485</v>
      </c>
      <c r="I9" s="13">
        <f t="shared" si="0"/>
        <v>2743400485</v>
      </c>
      <c r="J9" s="13">
        <f t="shared" si="0"/>
        <v>2743400485</v>
      </c>
      <c r="K9" s="13">
        <f t="shared" si="0"/>
        <v>2743400485</v>
      </c>
      <c r="L9" s="13">
        <f t="shared" si="0"/>
        <v>2743400485</v>
      </c>
      <c r="M9" s="13">
        <f t="shared" si="0"/>
        <v>2743400485</v>
      </c>
      <c r="N9" s="13">
        <f t="shared" si="0"/>
        <v>2743400485</v>
      </c>
      <c r="O9" s="13">
        <f t="shared" si="0"/>
        <v>2743400485</v>
      </c>
      <c r="P9" s="13">
        <f t="shared" si="0"/>
        <v>2743400485</v>
      </c>
      <c r="Q9" s="13">
        <f t="shared" si="0"/>
        <v>2743400485</v>
      </c>
      <c r="R9" s="13">
        <f t="shared" si="0"/>
        <v>2743400485</v>
      </c>
      <c r="S9" s="13">
        <f t="shared" si="0"/>
        <v>2743400485</v>
      </c>
      <c r="T9" s="13">
        <f t="shared" si="0"/>
        <v>2743400485</v>
      </c>
      <c r="U9" s="13">
        <f t="shared" si="0"/>
        <v>2743400485</v>
      </c>
    </row>
    <row r="11" spans="1:21">
      <c r="A11" s="6" t="s">
        <v>144</v>
      </c>
      <c r="B11" s="1">
        <v>2013</v>
      </c>
      <c r="C11" s="1">
        <v>2014</v>
      </c>
      <c r="D11" s="1">
        <v>2015</v>
      </c>
      <c r="E11" s="1">
        <v>2016</v>
      </c>
      <c r="F11" s="1">
        <v>2017</v>
      </c>
      <c r="G11" s="1">
        <v>2018</v>
      </c>
      <c r="H11" s="1">
        <v>2019</v>
      </c>
      <c r="I11" s="1">
        <v>2020</v>
      </c>
      <c r="J11" s="1">
        <v>2021</v>
      </c>
      <c r="K11" s="1">
        <v>2022</v>
      </c>
      <c r="L11" s="1">
        <v>2023</v>
      </c>
      <c r="M11" s="1">
        <v>2024</v>
      </c>
      <c r="N11" s="1">
        <v>2025</v>
      </c>
      <c r="O11" s="1">
        <v>2026</v>
      </c>
      <c r="P11" s="1">
        <v>2027</v>
      </c>
      <c r="Q11" s="1">
        <v>2028</v>
      </c>
      <c r="R11" s="1">
        <v>2029</v>
      </c>
      <c r="S11" s="1">
        <v>2030</v>
      </c>
      <c r="T11" s="1">
        <v>2031</v>
      </c>
      <c r="U11" s="1">
        <v>2032</v>
      </c>
    </row>
    <row r="12" spans="1:21">
      <c r="A12" t="s">
        <v>145</v>
      </c>
      <c r="B12">
        <f xml:space="preserve"> Executive_Summary!F2</f>
        <v>0.13</v>
      </c>
      <c r="C12">
        <f xml:space="preserve"> B12 * (1 + Executive_Summary!$B$3)</f>
        <v>0.1313</v>
      </c>
      <c r="D12">
        <f xml:space="preserve"> C12 * (1 + Executive_Summary!$B$3)</f>
        <v>0.13261300000000001</v>
      </c>
      <c r="E12">
        <f xml:space="preserve"> D12 * (1 + Executive_Summary!$B$3)</f>
        <v>0.13393913000000002</v>
      </c>
      <c r="F12">
        <f xml:space="preserve"> E12 * (1 + Executive_Summary!$B$3)</f>
        <v>0.13527852130000001</v>
      </c>
      <c r="G12">
        <f xml:space="preserve"> F12 * (1 + Executive_Summary!$B$3)</f>
        <v>0.13663130651300001</v>
      </c>
      <c r="H12">
        <f xml:space="preserve"> G12 * (1 + Executive_Summary!$B$3)</f>
        <v>0.13799761957813</v>
      </c>
      <c r="I12">
        <f xml:space="preserve"> H12 * (1 + Executive_Summary!$B$3)</f>
        <v>0.13937759577391132</v>
      </c>
      <c r="J12">
        <f xml:space="preserve"> I12 * (1 + Executive_Summary!$B$3)</f>
        <v>0.14077137173165044</v>
      </c>
      <c r="K12">
        <f xml:space="preserve"> J12 * (1 + Executive_Summary!$B$3)</f>
        <v>0.14217908544896696</v>
      </c>
      <c r="L12">
        <f xml:space="preserve"> K12 * (1 + Executive_Summary!$B$3)</f>
        <v>0.14360087630345664</v>
      </c>
      <c r="M12">
        <f xml:space="preserve"> L12 * (1 + Executive_Summary!$B$3)</f>
        <v>0.14503688506649121</v>
      </c>
      <c r="N12">
        <f xml:space="preserve"> M12 * (1 + Executive_Summary!$B$3)</f>
        <v>0.14648725391715611</v>
      </c>
      <c r="O12">
        <f xml:space="preserve"> N12 * (1 + Executive_Summary!$B$3)</f>
        <v>0.14795212645632769</v>
      </c>
      <c r="P12">
        <f xml:space="preserve"> O12 * (1 + Executive_Summary!$B$3)</f>
        <v>0.14943164772089096</v>
      </c>
      <c r="Q12">
        <f xml:space="preserve"> P12 * (1 + Executive_Summary!$B$3)</f>
        <v>0.15092596419809987</v>
      </c>
      <c r="R12">
        <f xml:space="preserve"> Q12 * (1 + Executive_Summary!$B$3)</f>
        <v>0.15243522384008087</v>
      </c>
      <c r="S12">
        <f xml:space="preserve"> R12 * (1 + Executive_Summary!$B$3)</f>
        <v>0.15395957607848168</v>
      </c>
      <c r="T12">
        <f xml:space="preserve"> S12 * (1 + Executive_Summary!$B$3)</f>
        <v>0.15549917183926651</v>
      </c>
      <c r="U12">
        <f xml:space="preserve"> T12 * (1 + Executive_Summary!$B$3)</f>
        <v>0.15705416355765917</v>
      </c>
    </row>
    <row r="13" spans="1:21">
      <c r="A13" t="s">
        <v>146</v>
      </c>
      <c r="B13">
        <f xml:space="preserve"> Executive_Summary!F3</f>
        <v>0.16</v>
      </c>
      <c r="C13">
        <f xml:space="preserve"> B13 * (1 + Executive_Summary!$B$3)</f>
        <v>0.16159999999999999</v>
      </c>
      <c r="D13">
        <f xml:space="preserve"> C13 * (1 + Executive_Summary!$B$3)</f>
        <v>0.163216</v>
      </c>
      <c r="E13">
        <f xml:space="preserve"> D13 * (1 + Executive_Summary!$B$3)</f>
        <v>0.16484815999999999</v>
      </c>
      <c r="F13">
        <f xml:space="preserve"> E13 * (1 + Executive_Summary!$B$3)</f>
        <v>0.16649664159999999</v>
      </c>
      <c r="G13">
        <f xml:space="preserve"> F13 * (1 + Executive_Summary!$B$3)</f>
        <v>0.168161608016</v>
      </c>
      <c r="H13">
        <f xml:space="preserve"> G13 * (1 + Executive_Summary!$B$3)</f>
        <v>0.16984322409616001</v>
      </c>
      <c r="I13">
        <f xml:space="preserve"> H13 * (1 + Executive_Summary!$B$3)</f>
        <v>0.17154165633712162</v>
      </c>
      <c r="J13">
        <f xml:space="preserve"> I13 * (1 + Executive_Summary!$B$3)</f>
        <v>0.17325707290049283</v>
      </c>
      <c r="K13">
        <f xml:space="preserve"> J13 * (1 + Executive_Summary!$B$3)</f>
        <v>0.17498964362949776</v>
      </c>
      <c r="L13">
        <f xml:space="preserve"> K13 * (1 + Executive_Summary!$B$3)</f>
        <v>0.17673954006579273</v>
      </c>
      <c r="M13">
        <f xml:space="preserve"> L13 * (1 + Executive_Summary!$B$3)</f>
        <v>0.17850693546645066</v>
      </c>
      <c r="N13">
        <f xml:space="preserve"> M13 * (1 + Executive_Summary!$B$3)</f>
        <v>0.18029200482111518</v>
      </c>
      <c r="O13">
        <f xml:space="preserve"> N13 * (1 + Executive_Summary!$B$3)</f>
        <v>0.18209492486932632</v>
      </c>
      <c r="P13">
        <f xml:space="preserve"> O13 * (1 + Executive_Summary!$B$3)</f>
        <v>0.1839158741180196</v>
      </c>
      <c r="Q13">
        <f xml:space="preserve"> P13 * (1 + Executive_Summary!$B$3)</f>
        <v>0.18575503285919981</v>
      </c>
      <c r="R13">
        <f xml:space="preserve"> Q13 * (1 + Executive_Summary!$B$3)</f>
        <v>0.18761258318779181</v>
      </c>
      <c r="S13">
        <f xml:space="preserve"> R13 * (1 + Executive_Summary!$B$3)</f>
        <v>0.18948870901966972</v>
      </c>
      <c r="T13">
        <f xml:space="preserve"> S13 * (1 + Executive_Summary!$B$3)</f>
        <v>0.19138359610986641</v>
      </c>
      <c r="U13">
        <f xml:space="preserve"> T13 * (1 + Executive_Summary!$B$3)</f>
        <v>0.19329743207096509</v>
      </c>
    </row>
    <row r="14" spans="1:21">
      <c r="A14" t="s">
        <v>147</v>
      </c>
      <c r="B14">
        <f xml:space="preserve"> Executive_Summary!F4</f>
        <v>0.27</v>
      </c>
    </row>
    <row r="15" spans="1:21">
      <c r="A15" t="s">
        <v>148</v>
      </c>
      <c r="B15">
        <f xml:space="preserve"> Executive_Summary!F5</f>
        <v>0.31</v>
      </c>
    </row>
    <row r="16" spans="1:21">
      <c r="A16" t="s">
        <v>149</v>
      </c>
      <c r="B16">
        <f xml:space="preserve"> Executive_Summary!F6</f>
        <v>0.31</v>
      </c>
    </row>
    <row r="17" spans="1:2">
      <c r="A17" t="s">
        <v>150</v>
      </c>
      <c r="B17">
        <f xml:space="preserve"> Executive_Summary!F7</f>
        <v>3.5000000000000003E-2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21"/>
  <sheetViews>
    <sheetView workbookViewId="0">
      <selection activeCell="E30" sqref="E30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6" t="s">
        <v>130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3" t="s">
        <v>35</v>
      </c>
      <c r="B3">
        <f xml:space="preserve"> IF(AND(Executive_Summary!$B$42 &lt;= B2, Executive_Summary!$B$43&gt;= B2), B6 *(1 - Executive_Summary!$B$41), B6)</f>
        <v>4991</v>
      </c>
      <c r="C3">
        <f xml:space="preserve"> IF(AND(Executive_Summary!$B$42 &lt;= C2, Executive_Summary!$B$43&gt;= C2), C6 *(1 - Executive_Summary!$B$41), C6)</f>
        <v>4741.45</v>
      </c>
      <c r="D3">
        <f xml:space="preserve"> IF(AND(Executive_Summary!$B$42 &lt;= D2, Executive_Summary!$B$43&gt;= D2), D6 *(1 - Executive_Summary!$B$41), D6)</f>
        <v>4504.3774999999996</v>
      </c>
      <c r="E3">
        <f xml:space="preserve"> IF(AND(Executive_Summary!$B$42 &lt;= E2, Executive_Summary!$B$43&gt;= E2), E6 *(1 - Executive_Summary!$B$41), E6)</f>
        <v>4279.158625</v>
      </c>
      <c r="F3">
        <f xml:space="preserve"> IF(AND(Executive_Summary!$B$42 &lt;= F2, Executive_Summary!$B$43&gt;= F2), F6 *(1 - Executive_Summary!$B$41), F6)</f>
        <v>4065.2006937499996</v>
      </c>
      <c r="G3">
        <f xml:space="preserve"> IF(AND(Executive_Summary!$B$42 &lt;= G2, Executive_Summary!$B$43&gt;= G2), G6 *(1 - Executive_Summary!$B$41), G6)</f>
        <v>5517.0580843749995</v>
      </c>
      <c r="H3">
        <f xml:space="preserve"> IF(AND(Executive_Summary!$B$42 &lt;= H2, Executive_Summary!$B$43&gt;= H2), H6 *(1 - Executive_Summary!$B$41), H6)</f>
        <v>5241.2051801562493</v>
      </c>
      <c r="I3">
        <f xml:space="preserve"> IF(AND(Executive_Summary!$B$42 &lt;= I2, Executive_Summary!$B$43&gt;= I2), I6 *(1 - Executive_Summary!$B$41), I6)</f>
        <v>4979.1449211484369</v>
      </c>
      <c r="J3">
        <f xml:space="preserve"> IF(AND(Executive_Summary!$B$42 &lt;= J2, Executive_Summary!$B$43&gt;= J2), J6 *(1 - Executive_Summary!$B$41), J6)</f>
        <v>4730.1876750910151</v>
      </c>
      <c r="K3">
        <f xml:space="preserve"> IF(AND(Executive_Summary!$B$42 &lt;= K2, Executive_Summary!$B$43&gt;= K2), K6 *(1 - Executive_Summary!$B$41), K6)</f>
        <v>4493.6782913364641</v>
      </c>
      <c r="L3">
        <f xml:space="preserve"> IF(AND(Executive_Summary!$B$42 &lt;= L2, Executive_Summary!$B$43&gt;= L2), L6 *(1 - Executive_Summary!$B$41), L6)</f>
        <v>4268.9943767696404</v>
      </c>
      <c r="M3">
        <f xml:space="preserve"> IF(AND(Executive_Summary!$B$42 &lt;= M2, Executive_Summary!$B$43&gt;= M2), M6 *(1 - Executive_Summary!$B$41), M6)</f>
        <v>4055.5446579311583</v>
      </c>
      <c r="N3">
        <f xml:space="preserve"> IF(AND(Executive_Summary!$B$42 &lt;= N2, Executive_Summary!$B$43&gt;= N2), N6 *(1 - Executive_Summary!$B$41), N6)</f>
        <v>3852.7674250346004</v>
      </c>
      <c r="O3">
        <f xml:space="preserve"> IF(AND(Executive_Summary!$B$42 &lt;= O2, Executive_Summary!$B$43&gt;= O2), O6 *(1 - Executive_Summary!$B$41), O6)</f>
        <v>3660.12905378287</v>
      </c>
      <c r="P3">
        <f xml:space="preserve"> IF(AND(Executive_Summary!$B$42 &lt;= P2, Executive_Summary!$B$43&gt;= P2), P6 *(1 - Executive_Summary!$B$41), P6)</f>
        <v>3477.1226010937262</v>
      </c>
      <c r="Q3">
        <f xml:space="preserve"> IF(AND(Executive_Summary!$B$42 &lt;= Q2, Executive_Summary!$B$43&gt;= Q2), Q6 *(1 - Executive_Summary!$B$41), Q6)</f>
        <v>3303.2664710390395</v>
      </c>
      <c r="R3">
        <f xml:space="preserve"> IF(AND(Executive_Summary!$B$42 &lt;= R2, Executive_Summary!$B$43&gt;= R2), R6 *(1 - Executive_Summary!$B$41), R6)</f>
        <v>3138.1031474870874</v>
      </c>
      <c r="S3">
        <f xml:space="preserve"> IF(AND(Executive_Summary!$B$42 &lt;= S2, Executive_Summary!$B$43&gt;= S2), S6 *(1 - Executive_Summary!$B$41), S6)</f>
        <v>2981.1979901127329</v>
      </c>
      <c r="T3">
        <f xml:space="preserve"> IF(AND(Executive_Summary!$B$42 &lt;= T2, Executive_Summary!$B$43&gt;= T2), T6 *(1 - Executive_Summary!$B$41), T6)</f>
        <v>2832.1380906070963</v>
      </c>
      <c r="U3">
        <f xml:space="preserve"> IF(AND(Executive_Summary!$B$42 &lt;= U2, Executive_Summary!$B$43&gt;= U2), U6 *(1 - Executive_Summary!$B$41), U6)</f>
        <v>2690.5311860767415</v>
      </c>
    </row>
    <row r="5" spans="1:21">
      <c r="A5" s="6" t="s">
        <v>131</v>
      </c>
      <c r="B5" s="1">
        <v>2013</v>
      </c>
      <c r="C5" s="1">
        <v>2014</v>
      </c>
      <c r="D5" s="1">
        <v>2015</v>
      </c>
      <c r="E5" s="1">
        <v>2016</v>
      </c>
      <c r="F5" s="1">
        <v>2017</v>
      </c>
      <c r="G5" s="1">
        <v>2018</v>
      </c>
      <c r="H5" s="1">
        <v>2019</v>
      </c>
      <c r="I5" s="1">
        <v>2020</v>
      </c>
      <c r="J5" s="1">
        <v>2021</v>
      </c>
      <c r="K5" s="1">
        <v>2022</v>
      </c>
      <c r="L5" s="1">
        <v>2023</v>
      </c>
      <c r="M5" s="1">
        <v>2024</v>
      </c>
      <c r="N5" s="1">
        <v>2025</v>
      </c>
      <c r="O5" s="1">
        <v>2026</v>
      </c>
      <c r="P5" s="1">
        <v>2027</v>
      </c>
      <c r="Q5" s="1">
        <v>2028</v>
      </c>
      <c r="R5" s="1">
        <v>2029</v>
      </c>
      <c r="S5" s="1">
        <v>2030</v>
      </c>
      <c r="T5" s="1">
        <v>2031</v>
      </c>
      <c r="U5" s="1">
        <v>2032</v>
      </c>
    </row>
    <row r="6" spans="1:21">
      <c r="A6" s="3" t="s">
        <v>35</v>
      </c>
      <c r="B6">
        <f xml:space="preserve"> Executive_Summary!B39</f>
        <v>7130</v>
      </c>
      <c r="C6">
        <f xml:space="preserve"> B6 *(1 - Executive_Summary!$B$40)</f>
        <v>6773.5</v>
      </c>
      <c r="D6">
        <f xml:space="preserve"> C6 *(1 - Executive_Summary!$B$40)</f>
        <v>6434.8249999999998</v>
      </c>
      <c r="E6">
        <f xml:space="preserve"> D6 *(1 - Executive_Summary!$B$40)</f>
        <v>6113.0837499999998</v>
      </c>
      <c r="F6">
        <f xml:space="preserve"> E6 *(1 - Executive_Summary!$B$40)</f>
        <v>5807.4295624999995</v>
      </c>
      <c r="G6">
        <f xml:space="preserve"> F6 *(1 - Executive_Summary!$B$40)</f>
        <v>5517.0580843749995</v>
      </c>
      <c r="H6">
        <f xml:space="preserve"> G6 *(1 - Executive_Summary!$B$40)</f>
        <v>5241.2051801562493</v>
      </c>
      <c r="I6">
        <f xml:space="preserve"> H6 *(1 - Executive_Summary!$B$40)</f>
        <v>4979.1449211484369</v>
      </c>
      <c r="J6">
        <f xml:space="preserve"> I6 *(1 - Executive_Summary!$B$40)</f>
        <v>4730.1876750910151</v>
      </c>
      <c r="K6">
        <f xml:space="preserve"> J6 *(1 - Executive_Summary!$B$40)</f>
        <v>4493.6782913364641</v>
      </c>
      <c r="L6">
        <f xml:space="preserve"> K6 *(1 - Executive_Summary!$B$40)</f>
        <v>4268.9943767696404</v>
      </c>
      <c r="M6">
        <f xml:space="preserve"> L6 *(1 - Executive_Summary!$B$40)</f>
        <v>4055.5446579311583</v>
      </c>
      <c r="N6">
        <f xml:space="preserve"> M6 *(1 - Executive_Summary!$B$40)</f>
        <v>3852.7674250346004</v>
      </c>
      <c r="O6">
        <f xml:space="preserve"> N6 *(1 - Executive_Summary!$B$40)</f>
        <v>3660.12905378287</v>
      </c>
      <c r="P6">
        <f xml:space="preserve"> O6 *(1 - Executive_Summary!$B$40)</f>
        <v>3477.1226010937262</v>
      </c>
      <c r="Q6">
        <f xml:space="preserve"> P6 *(1 - Executive_Summary!$B$40)</f>
        <v>3303.2664710390395</v>
      </c>
      <c r="R6">
        <f xml:space="preserve"> Q6 *(1 - Executive_Summary!$B$40)</f>
        <v>3138.1031474870874</v>
      </c>
      <c r="S6">
        <f xml:space="preserve"> R6 *(1 - Executive_Summary!$B$40)</f>
        <v>2981.1979901127329</v>
      </c>
      <c r="T6">
        <f xml:space="preserve"> S6 *(1 - Executive_Summary!$B$40)</f>
        <v>2832.1380906070963</v>
      </c>
      <c r="U6">
        <f xml:space="preserve"> T6 *(1 - Executive_Summary!$B$40)</f>
        <v>2690.5311860767415</v>
      </c>
    </row>
    <row r="8" spans="1:21" ht="30">
      <c r="A8" s="29" t="s">
        <v>107</v>
      </c>
    </row>
    <row r="9" spans="1:21">
      <c r="A9">
        <v>150</v>
      </c>
    </row>
    <row r="12" spans="1:21" ht="30">
      <c r="A12" s="29" t="s">
        <v>135</v>
      </c>
      <c r="B12" s="29" t="s">
        <v>136</v>
      </c>
    </row>
    <row r="13" spans="1:21">
      <c r="A13">
        <v>1</v>
      </c>
      <c r="B13" s="51">
        <v>1</v>
      </c>
    </row>
    <row r="14" spans="1:21">
      <c r="A14">
        <v>2</v>
      </c>
      <c r="B14" s="51">
        <v>2</v>
      </c>
    </row>
    <row r="15" spans="1:21">
      <c r="A15">
        <v>3</v>
      </c>
      <c r="B15" s="51">
        <v>2</v>
      </c>
    </row>
    <row r="16" spans="1:21">
      <c r="A16">
        <v>4</v>
      </c>
      <c r="B16" s="51">
        <v>3</v>
      </c>
    </row>
    <row r="17" spans="1:2">
      <c r="A17">
        <v>5</v>
      </c>
      <c r="B17" s="51">
        <v>3</v>
      </c>
    </row>
    <row r="18" spans="1:2">
      <c r="A18">
        <v>6</v>
      </c>
      <c r="B18" s="51">
        <v>6</v>
      </c>
    </row>
    <row r="20" spans="1:2" ht="30">
      <c r="A20" s="54" t="s">
        <v>139</v>
      </c>
    </row>
    <row r="21" spans="1:2">
      <c r="A21" s="55">
        <v>0.3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0"/>
  <sheetViews>
    <sheetView workbookViewId="0">
      <selection activeCell="F26" sqref="F26"/>
    </sheetView>
  </sheetViews>
  <sheetFormatPr baseColWidth="10" defaultColWidth="11" defaultRowHeight="15" x14ac:dyDescent="0"/>
  <cols>
    <col min="1" max="1" width="14.6640625" bestFit="1" customWidth="1"/>
    <col min="2" max="2" width="23.1640625" bestFit="1" customWidth="1"/>
    <col min="3" max="3" width="28.83203125" bestFit="1" customWidth="1"/>
    <col min="4" max="8" width="16.6640625" bestFit="1" customWidth="1"/>
    <col min="9" max="9" width="17.83203125" customWidth="1"/>
    <col min="10" max="10" width="20" customWidth="1"/>
    <col min="11" max="11" width="11" customWidth="1"/>
  </cols>
  <sheetData>
    <row r="1" spans="1:11">
      <c r="A1" s="28" t="s">
        <v>105</v>
      </c>
      <c r="C1" s="28" t="s">
        <v>142</v>
      </c>
    </row>
    <row r="2" spans="1:11">
      <c r="A2" s="33">
        <f xml:space="preserve"> Executive_Summary!B46</f>
        <v>4116775</v>
      </c>
      <c r="C2" s="53">
        <f xml:space="preserve"> Executive_Summary!H5</f>
        <v>20000</v>
      </c>
    </row>
    <row r="5" spans="1:11">
      <c r="A5" t="str">
        <f xml:space="preserve"> IF(OR(C5 &gt;100, C5 &lt; 0), Check_btw_100percent(), "")</f>
        <v/>
      </c>
      <c r="B5" s="49" t="s">
        <v>133</v>
      </c>
      <c r="C5" s="3">
        <f xml:space="preserve"> SUM(C8:C11)</f>
        <v>100</v>
      </c>
    </row>
    <row r="6" spans="1:11">
      <c r="A6" s="61" t="s">
        <v>103</v>
      </c>
      <c r="B6" s="62"/>
      <c r="C6" s="62"/>
      <c r="D6" s="26" t="s">
        <v>34</v>
      </c>
      <c r="E6" s="27"/>
      <c r="F6" s="27"/>
      <c r="G6" s="27"/>
      <c r="H6" s="27"/>
      <c r="I6" s="27"/>
    </row>
    <row r="7" spans="1:11" ht="30">
      <c r="A7" s="4" t="s">
        <v>100</v>
      </c>
      <c r="B7" s="4" t="s">
        <v>27</v>
      </c>
      <c r="C7" s="1" t="s">
        <v>104</v>
      </c>
      <c r="D7" s="23" t="s">
        <v>28</v>
      </c>
      <c r="E7" s="23" t="s">
        <v>29</v>
      </c>
      <c r="F7" s="23" t="s">
        <v>30</v>
      </c>
      <c r="G7" s="23" t="s">
        <v>31</v>
      </c>
      <c r="H7" s="23" t="s">
        <v>32</v>
      </c>
      <c r="I7" s="23" t="s">
        <v>33</v>
      </c>
      <c r="J7" s="50" t="s">
        <v>134</v>
      </c>
    </row>
    <row r="8" spans="1:11">
      <c r="A8" s="5" t="s">
        <v>101</v>
      </c>
      <c r="B8" s="5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  <c r="J8">
        <v>100</v>
      </c>
      <c r="K8" t="str">
        <f xml:space="preserve"> IF(OR(J8 &gt;100, J8 &lt; 0), Check_btw_100percent(), "")</f>
        <v/>
      </c>
    </row>
    <row r="9" spans="1:11">
      <c r="A9" s="5" t="s">
        <v>102</v>
      </c>
      <c r="B9" s="5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  <c r="J9">
        <v>100</v>
      </c>
      <c r="K9" t="str">
        <f xml:space="preserve"> IF(OR(J9 &gt;100, J9 &lt; 0), Check_btw_100percent(), "")</f>
        <v/>
      </c>
    </row>
    <row r="10" spans="1:11">
      <c r="A10" s="5" t="s">
        <v>101</v>
      </c>
      <c r="B10" s="5" t="s">
        <v>106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  <c r="J10">
        <f t="shared" ref="J10:J11" si="0" xml:space="preserve"> SUM(D10:I10)</f>
        <v>99.999999999999758</v>
      </c>
      <c r="K10" t="str">
        <f xml:space="preserve"> IF(OR(J10 &gt;100, J10 &lt; 0), Check_btw_100percent(), "")</f>
        <v/>
      </c>
    </row>
    <row r="11" spans="1:11">
      <c r="A11" s="5" t="s">
        <v>102</v>
      </c>
      <c r="B11" s="5" t="s">
        <v>106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  <c r="J11">
        <f t="shared" si="0"/>
        <v>99.999999999999886</v>
      </c>
      <c r="K11" t="str">
        <f xml:space="preserve"> IF(OR(J11 &gt;100, J11 &lt; 0), Check_btw_100percent(), "")</f>
        <v/>
      </c>
    </row>
    <row r="14" spans="1:11">
      <c r="A14" s="5"/>
      <c r="B14" s="49" t="s">
        <v>133</v>
      </c>
      <c r="C14" s="49">
        <f xml:space="preserve"> SUM(C17:C20)</f>
        <v>100</v>
      </c>
      <c r="D14" s="5"/>
      <c r="E14" s="5"/>
      <c r="F14" s="5"/>
      <c r="G14" s="5"/>
      <c r="H14" s="5"/>
      <c r="I14" s="5"/>
      <c r="J14" s="5"/>
    </row>
    <row r="15" spans="1:11">
      <c r="A15" s="63" t="s">
        <v>140</v>
      </c>
      <c r="B15" s="63"/>
      <c r="C15" s="63"/>
      <c r="D15" s="56" t="s">
        <v>141</v>
      </c>
      <c r="E15" s="56"/>
      <c r="F15" s="56"/>
      <c r="G15" s="56"/>
      <c r="H15" s="56"/>
      <c r="I15" s="56"/>
      <c r="J15" s="5"/>
    </row>
    <row r="16" spans="1:11" ht="30">
      <c r="A16" s="4" t="s">
        <v>100</v>
      </c>
      <c r="B16" s="4" t="s">
        <v>27</v>
      </c>
      <c r="C16" s="4" t="s">
        <v>104</v>
      </c>
      <c r="D16" s="57" t="s">
        <v>28</v>
      </c>
      <c r="E16" s="57" t="s">
        <v>29</v>
      </c>
      <c r="F16" s="57" t="s">
        <v>30</v>
      </c>
      <c r="G16" s="57" t="s">
        <v>31</v>
      </c>
      <c r="H16" s="57" t="s">
        <v>32</v>
      </c>
      <c r="I16" s="57" t="s">
        <v>33</v>
      </c>
      <c r="J16" s="58" t="s">
        <v>134</v>
      </c>
    </row>
    <row r="17" spans="1:10">
      <c r="A17" s="5" t="s">
        <v>101</v>
      </c>
      <c r="B17" s="5" t="s">
        <v>1</v>
      </c>
      <c r="C17" s="5">
        <v>5.7627587</v>
      </c>
      <c r="D17" s="5">
        <v>4.4799999999999995</v>
      </c>
      <c r="E17" s="5">
        <v>16.239999999999998</v>
      </c>
      <c r="F17" s="5">
        <v>21.959999999999997</v>
      </c>
      <c r="G17" s="5">
        <v>19.040000000000003</v>
      </c>
      <c r="H17" s="5">
        <v>16.28</v>
      </c>
      <c r="I17" s="5">
        <v>22</v>
      </c>
      <c r="J17" s="5">
        <f xml:space="preserve"> SUM(D17:I17)</f>
        <v>100</v>
      </c>
    </row>
    <row r="18" spans="1:10">
      <c r="A18" s="5" t="s">
        <v>102</v>
      </c>
      <c r="B18" s="5" t="s">
        <v>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f t="shared" ref="J18:J20" si="1" xml:space="preserve"> SUM(D18:I18)</f>
        <v>0</v>
      </c>
    </row>
    <row r="19" spans="1:10">
      <c r="A19" s="5" t="s">
        <v>101</v>
      </c>
      <c r="B19" s="5" t="s">
        <v>106</v>
      </c>
      <c r="C19">
        <v>94.237241299999994</v>
      </c>
      <c r="D19" s="5">
        <v>1.9201604618169368</v>
      </c>
      <c r="E19" s="5">
        <v>7.9497089183503746</v>
      </c>
      <c r="F19" s="5">
        <v>18.387065212073772</v>
      </c>
      <c r="G19" s="5">
        <v>25.275182231789049</v>
      </c>
      <c r="H19" s="5">
        <v>20.287657159630154</v>
      </c>
      <c r="I19" s="5">
        <v>26.180226016339709</v>
      </c>
      <c r="J19" s="5">
        <f t="shared" si="1"/>
        <v>100</v>
      </c>
    </row>
    <row r="20" spans="1:10">
      <c r="A20" s="5" t="s">
        <v>102</v>
      </c>
      <c r="B20" s="5" t="s">
        <v>106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f t="shared" si="1"/>
        <v>0</v>
      </c>
    </row>
  </sheetData>
  <mergeCells count="2">
    <mergeCell ref="A6:C6"/>
    <mergeCell ref="A15:C15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0"/>
  <sheetViews>
    <sheetView zoomScale="75" zoomScaleNormal="75" zoomScalePageLayoutView="75" workbookViewId="0">
      <selection activeCell="E23" sqref="E23"/>
    </sheetView>
  </sheetViews>
  <sheetFormatPr baseColWidth="10" defaultColWidth="11" defaultRowHeight="15" x14ac:dyDescent="0"/>
  <cols>
    <col min="1" max="1" width="11.5" bestFit="1" customWidth="1"/>
    <col min="2" max="3" width="57.33203125" bestFit="1" customWidth="1"/>
    <col min="4" max="4" width="27.6640625" bestFit="1" customWidth="1"/>
    <col min="5" max="5" width="23" bestFit="1" customWidth="1"/>
    <col min="6" max="7" width="4.83203125" bestFit="1" customWidth="1"/>
    <col min="8" max="8" width="8.1640625" bestFit="1" customWidth="1"/>
    <col min="9" max="9" width="6" bestFit="1" customWidth="1"/>
    <col min="10" max="10" width="12.6640625" bestFit="1" customWidth="1"/>
    <col min="11" max="11" width="11.5" bestFit="1" customWidth="1"/>
    <col min="12" max="12" width="9.33203125" bestFit="1" customWidth="1"/>
    <col min="13" max="13" width="12.6640625" bestFit="1" customWidth="1"/>
    <col min="14" max="14" width="8.1640625" bestFit="1" customWidth="1"/>
  </cols>
  <sheetData>
    <row r="1" spans="1:13">
      <c r="A1" s="42" t="s">
        <v>0</v>
      </c>
      <c r="B1" s="6" t="s">
        <v>36</v>
      </c>
      <c r="C1" s="6" t="s">
        <v>37</v>
      </c>
      <c r="D1" s="36"/>
      <c r="E1" s="37" t="s">
        <v>98</v>
      </c>
      <c r="F1" s="37"/>
      <c r="G1" s="38"/>
      <c r="H1" s="39"/>
      <c r="I1" s="39"/>
      <c r="J1" s="39"/>
      <c r="K1" s="39"/>
      <c r="L1" s="39"/>
      <c r="M1" s="39"/>
    </row>
    <row r="2" spans="1:13">
      <c r="A2" s="2" t="s">
        <v>1</v>
      </c>
      <c r="B2" t="s">
        <v>4</v>
      </c>
      <c r="C2" t="s">
        <v>20</v>
      </c>
      <c r="D2" s="35" t="s">
        <v>68</v>
      </c>
      <c r="E2" s="35" t="s">
        <v>73</v>
      </c>
      <c r="F2" s="35" t="s">
        <v>74</v>
      </c>
      <c r="G2" s="35" t="s">
        <v>76</v>
      </c>
      <c r="H2" s="35" t="s">
        <v>87</v>
      </c>
      <c r="I2" s="35" t="s">
        <v>91</v>
      </c>
      <c r="J2" s="35" t="s">
        <v>92</v>
      </c>
      <c r="K2" s="35" t="s">
        <v>88</v>
      </c>
      <c r="L2" s="35" t="s">
        <v>93</v>
      </c>
      <c r="M2" s="35" t="s">
        <v>94</v>
      </c>
    </row>
    <row r="3" spans="1:13">
      <c r="A3" s="2" t="s">
        <v>106</v>
      </c>
      <c r="B3" t="s">
        <v>5</v>
      </c>
      <c r="C3" t="s">
        <v>21</v>
      </c>
      <c r="D3" t="s">
        <v>2</v>
      </c>
      <c r="E3">
        <v>3.5000000000000001E-3</v>
      </c>
      <c r="F3">
        <v>0.1</v>
      </c>
      <c r="G3">
        <v>1E-4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s="2"/>
      <c r="B4" t="s">
        <v>6</v>
      </c>
      <c r="C4" t="s">
        <v>18</v>
      </c>
      <c r="D4" t="s">
        <v>3</v>
      </c>
      <c r="E4">
        <v>3.5000000000000001E-3</v>
      </c>
      <c r="F4">
        <v>0.1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B5" t="s">
        <v>7</v>
      </c>
      <c r="C5" t="s">
        <v>19</v>
      </c>
      <c r="D5" t="s">
        <v>84</v>
      </c>
      <c r="E5">
        <v>0</v>
      </c>
      <c r="F5">
        <v>0</v>
      </c>
      <c r="G5">
        <v>0</v>
      </c>
      <c r="H5">
        <v>0.03</v>
      </c>
      <c r="I5">
        <v>7.0000000000000005E-8</v>
      </c>
      <c r="J5">
        <v>3.9999999999999998E-6</v>
      </c>
      <c r="K5">
        <v>0.05</v>
      </c>
      <c r="L5">
        <v>2.9999999999999997E-8</v>
      </c>
      <c r="M5">
        <v>7.0000000000000007E-2</v>
      </c>
    </row>
    <row r="6" spans="1:13">
      <c r="B6" t="s">
        <v>15</v>
      </c>
      <c r="C6" t="s">
        <v>16</v>
      </c>
    </row>
    <row r="7" spans="1:13">
      <c r="B7" t="s">
        <v>23</v>
      </c>
      <c r="C7" t="s">
        <v>22</v>
      </c>
    </row>
    <row r="8" spans="1:13">
      <c r="B8" t="s">
        <v>24</v>
      </c>
      <c r="C8" t="s">
        <v>25</v>
      </c>
      <c r="D8" s="35" t="s">
        <v>68</v>
      </c>
      <c r="E8" s="35" t="s">
        <v>73</v>
      </c>
      <c r="F8" s="35" t="s">
        <v>74</v>
      </c>
      <c r="G8" s="35" t="s">
        <v>76</v>
      </c>
      <c r="H8" s="35" t="s">
        <v>87</v>
      </c>
      <c r="I8" s="35" t="s">
        <v>91</v>
      </c>
      <c r="J8" s="35" t="s">
        <v>92</v>
      </c>
      <c r="K8" s="35" t="s">
        <v>88</v>
      </c>
      <c r="L8" s="35" t="s">
        <v>93</v>
      </c>
      <c r="M8" s="35" t="s">
        <v>94</v>
      </c>
    </row>
    <row r="9" spans="1:13">
      <c r="D9" t="s">
        <v>99</v>
      </c>
      <c r="E9">
        <v>0</v>
      </c>
      <c r="F9">
        <v>0</v>
      </c>
      <c r="G9">
        <v>0</v>
      </c>
      <c r="H9">
        <v>0</v>
      </c>
      <c r="I9">
        <v>0</v>
      </c>
      <c r="J9">
        <v>1.114E-4</v>
      </c>
      <c r="K9">
        <v>6.5659999999999996E-2</v>
      </c>
      <c r="L9">
        <v>1.517E-4</v>
      </c>
      <c r="M9">
        <v>0.1</v>
      </c>
    </row>
    <row r="11" spans="1:13">
      <c r="B11" s="41" t="s">
        <v>8</v>
      </c>
      <c r="C11" s="41" t="s">
        <v>9</v>
      </c>
    </row>
    <row r="12" spans="1:13">
      <c r="B12" t="s">
        <v>10</v>
      </c>
      <c r="C12" t="s">
        <v>73</v>
      </c>
    </row>
    <row r="13" spans="1:13">
      <c r="B13" t="s">
        <v>38</v>
      </c>
      <c r="C13" t="s">
        <v>74</v>
      </c>
    </row>
    <row r="14" spans="1:13">
      <c r="B14" t="s">
        <v>75</v>
      </c>
      <c r="C14" t="s">
        <v>76</v>
      </c>
    </row>
    <row r="15" spans="1:13">
      <c r="B15" t="s">
        <v>11</v>
      </c>
      <c r="C15" t="s">
        <v>13</v>
      </c>
    </row>
    <row r="16" spans="1:13">
      <c r="B16" t="s">
        <v>17</v>
      </c>
      <c r="C16" t="s">
        <v>26</v>
      </c>
    </row>
    <row r="17" spans="2:3">
      <c r="B17" t="s">
        <v>12</v>
      </c>
      <c r="C17" t="s">
        <v>14</v>
      </c>
    </row>
    <row r="18" spans="2:3">
      <c r="B18" t="s">
        <v>86</v>
      </c>
      <c r="C18" t="s">
        <v>87</v>
      </c>
    </row>
    <row r="19" spans="2:3">
      <c r="B19" t="s">
        <v>95</v>
      </c>
      <c r="C19" t="s">
        <v>91</v>
      </c>
    </row>
    <row r="20" spans="2:3">
      <c r="B20" t="s">
        <v>90</v>
      </c>
      <c r="C20" t="s">
        <v>92</v>
      </c>
    </row>
    <row r="21" spans="2:3">
      <c r="B21" t="s">
        <v>96</v>
      </c>
      <c r="C21" t="s">
        <v>88</v>
      </c>
    </row>
    <row r="22" spans="2:3">
      <c r="B22" t="s">
        <v>89</v>
      </c>
      <c r="C22" t="s">
        <v>93</v>
      </c>
    </row>
    <row r="23" spans="2:3">
      <c r="B23" t="s">
        <v>97</v>
      </c>
      <c r="C23" t="s">
        <v>94</v>
      </c>
    </row>
    <row r="26" spans="2:3">
      <c r="B26" s="40" t="s">
        <v>68</v>
      </c>
      <c r="C26" s="40" t="s">
        <v>69</v>
      </c>
    </row>
    <row r="27" spans="2:3">
      <c r="B27" t="s">
        <v>83</v>
      </c>
      <c r="C27" t="s">
        <v>71</v>
      </c>
    </row>
    <row r="28" spans="2:3">
      <c r="B28" t="s">
        <v>3</v>
      </c>
      <c r="C28" t="s">
        <v>72</v>
      </c>
    </row>
    <row r="29" spans="2:3">
      <c r="B29" t="s">
        <v>70</v>
      </c>
      <c r="C29" t="s">
        <v>77</v>
      </c>
    </row>
    <row r="30" spans="2:3">
      <c r="B30" t="s">
        <v>84</v>
      </c>
      <c r="C30" t="s">
        <v>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Executive_Summary</vt:lpstr>
      <vt:lpstr>Annual_Utility_Tier_Prices</vt:lpstr>
      <vt:lpstr>PV_Parameters</vt:lpstr>
      <vt:lpstr>Category_Names</vt:lpstr>
      <vt:lpstr>Adoption_Model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2014-01-28T04:00:13Z</dcterms:modified>
</cp:coreProperties>
</file>