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 activeTab="1"/>
  </bookViews>
  <sheets>
    <sheet name="Executive_Summary" sheetId="8" r:id="rId1"/>
    <sheet name="Annual_Utility_Tier_Prices" sheetId="9" r:id="rId2"/>
    <sheet name="PV_Parameters" sheetId="4" r:id="rId3"/>
    <sheet name="Category_Names" sheetId="5" r:id="rId4"/>
    <sheet name="Adoption_Model" sheetId="2" r:id="rId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2" i="9" l="1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17" i="9"/>
  <c r="B14" i="9"/>
  <c r="B15" i="9"/>
  <c r="B16" i="9"/>
  <c r="D13" i="9"/>
  <c r="E13" i="9"/>
  <c r="F13" i="9"/>
  <c r="G13" i="9"/>
  <c r="H13" i="9"/>
  <c r="C13" i="9"/>
  <c r="D12" i="9"/>
  <c r="E12" i="9"/>
  <c r="F12" i="9"/>
  <c r="G12" i="9"/>
  <c r="H12" i="9"/>
  <c r="C12" i="9"/>
  <c r="B13" i="9"/>
  <c r="B12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C9" i="9"/>
  <c r="C2" i="5"/>
  <c r="J20" i="5"/>
  <c r="J19" i="5"/>
  <c r="J18" i="5"/>
  <c r="J17" i="5"/>
  <c r="C14" i="5"/>
  <c r="C5" i="5"/>
  <c r="C56" i="8"/>
  <c r="C49" i="8"/>
  <c r="C48" i="8"/>
  <c r="C32" i="8"/>
  <c r="C33" i="8"/>
  <c r="C34" i="8"/>
  <c r="C35" i="8"/>
  <c r="C36" i="8"/>
  <c r="C31" i="8"/>
  <c r="C11" i="5"/>
  <c r="A5" i="5"/>
  <c r="K9" i="5"/>
  <c r="J10" i="5"/>
  <c r="K10" i="5"/>
  <c r="J11" i="5"/>
  <c r="K11" i="5"/>
  <c r="K8" i="5"/>
  <c r="B6" i="4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B9" i="9"/>
  <c r="A2" i="5"/>
</calcChain>
</file>

<file path=xl/sharedStrings.xml><?xml version="1.0" encoding="utf-8"?>
<sst xmlns="http://schemas.openxmlformats.org/spreadsheetml/2006/main" count="200" uniqueCount="151">
  <si>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</si>
  <si>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</si>
  <si>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</si>
  <si>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</si>
  <si>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</si>
  <si>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</si>
  <si>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</si>
  <si>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</si>
  <si>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</si>
  <si>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</si>
  <si>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</si>
  <si>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</si>
  <si>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</si>
  <si>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</si>
  <si>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</si>
  <si>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</si>
  <si>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</si>
  <si>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</si>
  <si>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</si>
  <si>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</si>
  <si>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</si>
  <si>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</si>
  <si>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</si>
  <si>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</si>
  <si>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</si>
  <si>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</si>
  <si>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</si>
  <si>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</si>
  <si>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</si>
  <si>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</si>
  <si>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</si>
  <si>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</si>
  <si>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</si>
  <si>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</si>
  <si>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</si>
  <si>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</si>
  <si>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</si>
  <si>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</si>
  <si>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</si>
  <si>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</si>
  <si>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</si>
  <si>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</si>
  <si>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</si>
  <si>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</si>
  <si>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</si>
  <si>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</si>
  <si>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</si>
  <si>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</si>
  <si>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</si>
  <si>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</si>
  <si>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</si>
  <si>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</si>
  <si>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</si>
  <si>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</si>
  <si>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</si>
  <si>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</si>
  <si>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</si>
  <si>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</si>
  <si>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</si>
  <si>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</si>
  <si>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</si>
  <si>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</si>
  <si>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</si>
  <si>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</si>
  <si>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</si>
  <si>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</si>
  <si>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</si>
  <si>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</si>
  <si>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</si>
  <si>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</si>
  <si>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</si>
  <si>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</si>
  <si>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</si>
  <si>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</si>
  <si>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</si>
  <si>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</si>
  <si>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</si>
  <si>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</si>
  <si>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</si>
  <si>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</si>
  <si>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</si>
  <si>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</si>
  <si>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</si>
  <si>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</si>
  <si>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</si>
  <si>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</si>
  <si>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</si>
  <si>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</si>
  <si>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</si>
  <si>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</si>
  <si>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</si>
  <si>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</si>
  <si>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</si>
  <si>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</si>
  <si>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</si>
  <si>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</si>
  <si>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</si>
  <si>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</si>
  <si>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</si>
  <si>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</si>
  <si>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</si>
  <si>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</si>
  <si>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</si>
  <si>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</si>
  <si>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</si>
  <si>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</si>
  <si>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</si>
  <si>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</si>
  <si>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</si>
  <si>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</si>
  <si>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</si>
  <si>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</si>
  <si>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</si>
  <si>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</si>
  <si>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</si>
  <si>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</si>
  <si>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</si>
  <si>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</si>
  <si>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</si>
  <si>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</si>
  <si>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</si>
  <si>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</si>
  <si>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</si>
  <si>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</si>
  <si>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</si>
  <si>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</si>
  <si>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</si>
  <si>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</si>
  <si>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</si>
  <si>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</si>
  <si>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</si>
  <si>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</si>
  <si>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</si>
  <si>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</si>
  <si>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</si>
  <si>
    <t>Cusomter in Consumption Bin</t>
  </si>
  <si>
    <t>Average PV Size Adopted</t>
  </si>
  <si>
    <t>Simulation Run Time (Months)</t>
  </si>
  <si>
    <t>Initial Number of Adopters</t>
  </si>
  <si>
    <t>Number of Customers that cannot Adopt PV due to Shading (%)</t>
  </si>
  <si>
    <t>Category Names &amp; Percentage Population of SOLAR customers</t>
  </si>
  <si>
    <t xml:space="preserve">                                                            Percentage in each consumption bin for each category of SOLAR customers</t>
  </si>
  <si>
    <t>Total Solar Adopters</t>
  </si>
  <si>
    <t xml:space="preserve">Annual Revene Requirement </t>
  </si>
  <si>
    <t>Annual Tier Prices ($/Kwh)</t>
  </si>
  <si>
    <t>Tier 1 Rate</t>
  </si>
  <si>
    <t>Tier 2 Rate</t>
  </si>
  <si>
    <t>Tier 3 Rate</t>
  </si>
  <si>
    <t>Tier 4 Rate</t>
  </si>
  <si>
    <t>Tier 5 Rate</t>
  </si>
  <si>
    <t>Net Surplus Compensation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</si>
</sst>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8DB4E2"/>
        <bgColor rgb="FF000000"/>
      </patternFill>
    </fill>
  </fills>
  <borders count="1">
    <border>
      <left/>
      <right/>
      <top/>
      <bottom/>
      <diagonal/>
    </border>
  </borders>
  <cellStyleXfs count="25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2" fontId="0" fillId="0" borderId="0" xfId="0" applyNumberFormat="1"/>
    <xf numFmtId="0" fontId="8" fillId="3" borderId="0" xfId="0" applyFont="1" applyFill="1"/>
    <xf numFmtId="1" fontId="0" fillId="0" borderId="0" xfId="0" applyNumberFormat="1"/>
    <xf numFmtId="0" fontId="1" fillId="2" borderId="0" xfId="0" applyFont="1" applyFill="1" applyAlignment="1">
      <alignment wrapText="1"/>
    </xf>
    <xf numFmtId="10" fontId="0" fillId="0" borderId="0" xfId="0" applyNumberFormat="1"/>
    <xf numFmtId="0" fontId="9" fillId="12" borderId="0" xfId="0" applyFont="1" applyFill="1"/>
    <xf numFmtId="0" fontId="5" fillId="13" borderId="0" xfId="0" applyFont="1" applyFill="1" applyAlignment="1">
      <alignment wrapText="1"/>
    </xf>
    <xf numFmtId="0" fontId="5" fillId="14" borderId="0" xfId="0" applyFont="1" applyFill="1" applyAlignment="1">
      <alignment wrapText="1"/>
    </xf>
    <xf numFmtId="0" fontId="1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5" fillId="11" borderId="0" xfId="0" applyFont="1" applyFill="1" applyAlignment="1">
      <alignment horizontal="center"/>
    </xf>
  </cellXfs>
  <cellStyles count="2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8"/>
  <sheetViews>
    <sheetView workbookViewId="0">
      <selection activeCell="G18" sqref="G18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5" max="5" width="34.1640625" bestFit="1" customWidth="1"/>
    <col min="6" max="6" width="26.6640625" bestFit="1" customWidth="1"/>
    <col min="8" max="8" width="26.6640625" bestFit="1" customWidth="1"/>
    <col min="10" max="10" width="26.6640625" bestFit="1" customWidth="1"/>
  </cols>
  <sheetData>
    <row r="1" spans="1:8">
      <c r="A1" s="59" t="s">
        <v>40</v>
      </c>
      <c r="B1" s="59"/>
      <c r="C1" s="24"/>
      <c r="E1" s="59" t="s">
        <v>112</v>
      </c>
      <c r="F1" s="59"/>
      <c r="H1" s="52" t="s">
        <v>137</v>
      </c>
    </row>
    <row r="2" spans="1:8">
      <c r="A2" s="9" t="s">
        <v>59</v>
      </c>
      <c r="B2" s="12">
        <v>4</v>
      </c>
      <c r="C2" s="14"/>
      <c r="D2" s="14">
        <v>1</v>
      </c>
      <c r="E2" s="10" t="s">
        <v>115</v>
      </c>
      <c r="F2" s="17">
        <v>0.13</v>
      </c>
      <c r="H2" s="53">
        <v>36</v>
      </c>
    </row>
    <row r="3" spans="1:8">
      <c r="A3" s="10" t="s">
        <v>52</v>
      </c>
      <c r="B3" s="16">
        <v>0.01</v>
      </c>
      <c r="C3" s="15"/>
      <c r="D3" s="14">
        <v>2</v>
      </c>
      <c r="E3" s="10" t="s">
        <v>116</v>
      </c>
      <c r="F3" s="17">
        <v>0.16</v>
      </c>
    </row>
    <row r="4" spans="1:8">
      <c r="A4" s="10" t="s">
        <v>53</v>
      </c>
      <c r="B4" s="16">
        <v>0.01</v>
      </c>
      <c r="C4" s="15"/>
      <c r="D4" s="14">
        <v>3</v>
      </c>
      <c r="E4" s="10" t="s">
        <v>117</v>
      </c>
      <c r="F4" s="17">
        <v>0.27</v>
      </c>
      <c r="H4" s="52" t="s">
        <v>138</v>
      </c>
    </row>
    <row r="5" spans="1:8">
      <c r="A5" s="10" t="s">
        <v>78</v>
      </c>
      <c r="B5" s="32">
        <v>0.04</v>
      </c>
      <c r="C5" s="15"/>
      <c r="D5" s="14">
        <v>4</v>
      </c>
      <c r="E5" s="10" t="s">
        <v>118</v>
      </c>
      <c r="F5" s="17">
        <v>0.31</v>
      </c>
      <c r="H5" s="53">
        <v>20000</v>
      </c>
    </row>
    <row r="6" spans="1:8">
      <c r="A6" s="10" t="s">
        <v>79</v>
      </c>
      <c r="B6" s="32">
        <v>0</v>
      </c>
      <c r="C6" s="15"/>
      <c r="D6" s="14">
        <v>5</v>
      </c>
      <c r="E6" s="10" t="s">
        <v>119</v>
      </c>
      <c r="F6" s="17">
        <v>0.31</v>
      </c>
    </row>
    <row r="7" spans="1:8">
      <c r="A7" s="10" t="s">
        <v>108</v>
      </c>
      <c r="B7" s="30">
        <v>0</v>
      </c>
      <c r="C7" s="15"/>
      <c r="D7" s="14" t="s">
        <v>66</v>
      </c>
      <c r="E7" s="10" t="s">
        <v>120</v>
      </c>
      <c r="F7" s="17">
        <v>3.5000000000000003E-2</v>
      </c>
    </row>
    <row r="8" spans="1:8">
      <c r="A8" s="10" t="s">
        <v>109</v>
      </c>
      <c r="B8" s="30">
        <v>0</v>
      </c>
      <c r="C8" s="15"/>
    </row>
    <row r="9" spans="1:8">
      <c r="A9" s="10" t="s">
        <v>110</v>
      </c>
      <c r="B9" s="31">
        <v>0</v>
      </c>
      <c r="C9" s="15"/>
    </row>
    <row r="10" spans="1:8">
      <c r="A10" s="10" t="s">
        <v>111</v>
      </c>
      <c r="B10" s="31">
        <v>0</v>
      </c>
      <c r="C10" s="15"/>
    </row>
    <row r="11" spans="1:8">
      <c r="A11" s="8"/>
      <c r="B11" s="18"/>
      <c r="C11" s="14"/>
    </row>
    <row r="12" spans="1:8">
      <c r="A12" s="59" t="s">
        <v>41</v>
      </c>
      <c r="B12" s="59"/>
      <c r="C12" s="14"/>
    </row>
    <row r="13" spans="1:8">
      <c r="A13" s="10" t="s">
        <v>80</v>
      </c>
      <c r="B13" s="16">
        <v>0.55000000000000004</v>
      </c>
      <c r="C13" s="14"/>
    </row>
    <row r="14" spans="1:8">
      <c r="A14" s="9" t="s">
        <v>60</v>
      </c>
      <c r="B14" s="16">
        <v>1</v>
      </c>
      <c r="C14" s="14"/>
    </row>
    <row r="15" spans="1:8">
      <c r="A15" s="9" t="s">
        <v>61</v>
      </c>
      <c r="B15" s="16">
        <v>1.3</v>
      </c>
      <c r="C15" s="14"/>
    </row>
    <row r="16" spans="1:8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9" t="s">
        <v>42</v>
      </c>
      <c r="B19" s="59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9" t="s">
        <v>45</v>
      </c>
      <c r="B23" s="59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9" t="s">
        <v>65</v>
      </c>
      <c r="B30" s="59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9" t="s">
        <v>121</v>
      </c>
      <c r="B38" s="60"/>
    </row>
    <row r="39" spans="1:6">
      <c r="A39" s="10" t="s">
        <v>122</v>
      </c>
      <c r="B39" s="17">
        <v>7130</v>
      </c>
    </row>
    <row r="40" spans="1:6">
      <c r="A40" s="10" t="s">
        <v>123</v>
      </c>
      <c r="B40" s="43">
        <v>0.05</v>
      </c>
    </row>
    <row r="41" spans="1:6">
      <c r="A41" s="10" t="s">
        <v>125</v>
      </c>
      <c r="B41" s="46">
        <v>0.3</v>
      </c>
    </row>
    <row r="42" spans="1:6">
      <c r="A42" s="45" t="s">
        <v>124</v>
      </c>
      <c r="B42" s="47">
        <v>2013</v>
      </c>
    </row>
    <row r="43" spans="1:6">
      <c r="A43" s="44" t="s">
        <v>126</v>
      </c>
      <c r="B43" s="47">
        <v>2017</v>
      </c>
    </row>
    <row r="45" spans="1:6">
      <c r="A45" s="59" t="s">
        <v>127</v>
      </c>
      <c r="B45" s="59"/>
    </row>
    <row r="46" spans="1:6">
      <c r="A46" s="10" t="s">
        <v>128</v>
      </c>
      <c r="B46" s="48">
        <v>4116775</v>
      </c>
    </row>
    <row r="47" spans="1:6">
      <c r="A47" s="10" t="s">
        <v>129</v>
      </c>
      <c r="B47" s="13">
        <v>2743400485</v>
      </c>
    </row>
    <row r="48" spans="1:6">
      <c r="A48" s="10" t="s">
        <v>132</v>
      </c>
      <c r="B48" s="46">
        <v>0.3</v>
      </c>
      <c r="C48" t="str">
        <f xml:space="preserve"> IF(OR(B40 &gt;100%, B40 &lt; 0%), Check_btw_100percent(), "")</f>
        <v/>
      </c>
    </row>
    <row r="49" spans="2:4">
      <c r="C49" t="str">
        <f xml:space="preserve"> IF(OR(B41 &gt;100%, B41 &lt; 0%), Check_btw_100percent(), "")</f>
        <v/>
      </c>
    </row>
    <row r="50" spans="2:4">
      <c r="D50"/>
    </row>
    <row r="51" spans="2:4">
      <c r="D51"/>
    </row>
    <row r="55" spans="2:4">
      <c r="D55"/>
    </row>
    <row r="56" spans="2:4">
      <c r="C56" t="str">
        <f xml:space="preserve"> IF(OR(B48 &gt;100%, B48 &lt; 0%), Check_btw_100percent(), "")</f>
        <v/>
      </c>
      <c r="D56"/>
    </row>
    <row r="57" spans="2:4">
      <c r="B57"/>
      <c r="D57"/>
    </row>
    <row r="58" spans="2:4">
      <c r="B58"/>
      <c r="D58"/>
    </row>
  </sheetData>
  <mergeCells count="8">
    <mergeCell ref="A45:B45"/>
    <mergeCell ref="E1:F1"/>
    <mergeCell ref="A1:B1"/>
    <mergeCell ref="A12:B12"/>
    <mergeCell ref="A19:B19"/>
    <mergeCell ref="A23:B23"/>
    <mergeCell ref="A30:B30"/>
    <mergeCell ref="A38:B38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A17"/>
  <sheetViews>
    <sheetView tabSelected="1" topLeftCell="E1" workbookViewId="0">
      <selection activeCell="I12" sqref="I12"/>
    </sheetView>
  </sheetViews>
  <sheetFormatPr baseColWidth="10" defaultColWidth="8.83203125" defaultRowHeight="15" x14ac:dyDescent="0"/>
  <cols>
    <col min="1" max="1" width="50.83203125" bestFit="1" customWidth="1"/>
    <col min="2" max="21" width="19.5" bestFit="1" customWidth="1"/>
  </cols>
  <sheetData>
    <row r="1" spans="1:53">
      <c r="A1" s="1" t="s">
        <v>54</v>
      </c>
      <c r="B1" s="13">
        <v>8.2049999999999998E-2</v>
      </c>
    </row>
    <row r="2" spans="1:53">
      <c r="A2" s="1" t="s">
        <v>55</v>
      </c>
      <c r="B2" s="13">
        <v>8.2049999999999998E-2</v>
      </c>
    </row>
    <row r="3" spans="1:53">
      <c r="A3" s="1" t="s">
        <v>56</v>
      </c>
      <c r="B3" s="13">
        <v>8.2049999999999998E-2</v>
      </c>
    </row>
    <row r="4" spans="1:53">
      <c r="A4" s="1" t="s">
        <v>57</v>
      </c>
      <c r="B4" s="13">
        <v>8.2049999999999998E-2</v>
      </c>
    </row>
    <row r="5" spans="1:53">
      <c r="A5" s="1" t="s">
        <v>58</v>
      </c>
      <c r="B5" s="13">
        <v>8.2049999999999998E-2</v>
      </c>
    </row>
    <row r="7" spans="1:53">
      <c r="A7" s="25"/>
      <c r="B7" s="13"/>
    </row>
    <row r="8" spans="1:53">
      <c r="A8" s="6" t="s">
        <v>143</v>
      </c>
      <c r="B8" s="1">
        <v>2013</v>
      </c>
      <c r="C8" s="1">
        <v>2014</v>
      </c>
      <c r="D8" s="1">
        <v>2015</v>
      </c>
      <c r="E8" s="1">
        <v>2016</v>
      </c>
      <c r="F8" s="1">
        <v>2017</v>
      </c>
      <c r="G8" s="1">
        <v>2018</v>
      </c>
      <c r="H8" s="1">
        <v>2019</v>
      </c>
      <c r="I8" s="1">
        <v>2020</v>
      </c>
      <c r="J8" s="1">
        <v>2021</v>
      </c>
      <c r="K8" s="1">
        <v>2022</v>
      </c>
      <c r="L8" s="1">
        <v>2023</v>
      </c>
      <c r="M8" s="1">
        <v>2024</v>
      </c>
      <c r="N8" s="1">
        <v>2025</v>
      </c>
      <c r="O8" s="1">
        <v>2026</v>
      </c>
      <c r="P8" s="1">
        <v>2027</v>
      </c>
      <c r="Q8" s="1">
        <v>2028</v>
      </c>
      <c r="R8" s="1">
        <v>2029</v>
      </c>
      <c r="S8" s="1">
        <v>2030</v>
      </c>
      <c r="T8" s="1">
        <v>2031</v>
      </c>
      <c r="U8" s="1">
        <v>2032</v>
      </c>
      <c r="V8" s="1">
        <v>2033</v>
      </c>
      <c r="W8" s="1">
        <v>2034</v>
      </c>
      <c r="X8" s="1">
        <v>2035</v>
      </c>
      <c r="Y8" s="1">
        <v>2036</v>
      </c>
      <c r="Z8" s="1">
        <v>2037</v>
      </c>
      <c r="AA8" s="1">
        <v>2038</v>
      </c>
      <c r="AB8" s="1">
        <v>2039</v>
      </c>
      <c r="AC8" s="1">
        <v>2040</v>
      </c>
      <c r="AD8" s="1">
        <v>2041</v>
      </c>
      <c r="AE8" s="1">
        <v>2042</v>
      </c>
      <c r="AF8" s="1">
        <v>2043</v>
      </c>
      <c r="AG8" s="1">
        <v>2044</v>
      </c>
      <c r="AH8" s="1">
        <v>2045</v>
      </c>
      <c r="AI8" s="1">
        <v>2046</v>
      </c>
      <c r="AJ8" s="1">
        <v>2047</v>
      </c>
      <c r="AK8" s="1">
        <v>2048</v>
      </c>
      <c r="AL8" s="1">
        <v>2049</v>
      </c>
      <c r="AM8" s="1">
        <v>2050</v>
      </c>
      <c r="AN8" s="1">
        <v>2051</v>
      </c>
      <c r="AO8" s="1">
        <v>2052</v>
      </c>
      <c r="AP8" s="1">
        <v>2053</v>
      </c>
      <c r="AQ8" s="1">
        <v>2054</v>
      </c>
      <c r="AR8" s="1">
        <v>2055</v>
      </c>
      <c r="AS8" s="1">
        <v>2056</v>
      </c>
      <c r="AT8" s="1">
        <v>2057</v>
      </c>
      <c r="AU8" s="1">
        <v>2058</v>
      </c>
      <c r="AV8" s="1">
        <v>2059</v>
      </c>
      <c r="AW8" s="1">
        <v>2060</v>
      </c>
      <c r="AX8" s="1">
        <v>2061</v>
      </c>
      <c r="AY8" s="1">
        <v>2062</v>
      </c>
      <c r="AZ8" s="1">
        <v>2063</v>
      </c>
      <c r="BA8" s="1">
        <v>2064</v>
      </c>
    </row>
    <row r="9" spans="1:53">
      <c r="A9" s="25" t="s">
        <v>82</v>
      </c>
      <c r="B9" s="13">
        <f xml:space="preserve"> Executive_Summary!B47</f>
        <v>2743400485</v>
      </c>
      <c r="C9" s="13">
        <f xml:space="preserve"> B9</f>
        <v>2743400485</v>
      </c>
      <c r="D9" s="13">
        <f t="shared" ref="D9:BA9" si="0" xml:space="preserve"> C9</f>
        <v>2743400485</v>
      </c>
      <c r="E9" s="13">
        <f t="shared" si="0"/>
        <v>2743400485</v>
      </c>
      <c r="F9" s="13">
        <f t="shared" si="0"/>
        <v>2743400485</v>
      </c>
      <c r="G9" s="13">
        <f t="shared" si="0"/>
        <v>2743400485</v>
      </c>
      <c r="H9" s="13">
        <f t="shared" si="0"/>
        <v>2743400485</v>
      </c>
      <c r="I9" s="13">
        <f t="shared" si="0"/>
        <v>2743400485</v>
      </c>
      <c r="J9" s="13">
        <f t="shared" si="0"/>
        <v>2743400485</v>
      </c>
      <c r="K9" s="13">
        <f t="shared" si="0"/>
        <v>2743400485</v>
      </c>
      <c r="L9" s="13">
        <f t="shared" si="0"/>
        <v>2743400485</v>
      </c>
      <c r="M9" s="13">
        <f t="shared" si="0"/>
        <v>2743400485</v>
      </c>
      <c r="N9" s="13">
        <f t="shared" si="0"/>
        <v>2743400485</v>
      </c>
      <c r="O9" s="13">
        <f t="shared" si="0"/>
        <v>2743400485</v>
      </c>
      <c r="P9" s="13">
        <f t="shared" si="0"/>
        <v>2743400485</v>
      </c>
      <c r="Q9" s="13">
        <f t="shared" si="0"/>
        <v>2743400485</v>
      </c>
      <c r="R9" s="13">
        <f t="shared" si="0"/>
        <v>2743400485</v>
      </c>
      <c r="S9" s="13">
        <f t="shared" si="0"/>
        <v>2743400485</v>
      </c>
      <c r="T9" s="13">
        <f t="shared" si="0"/>
        <v>2743400485</v>
      </c>
      <c r="U9" s="13">
        <f t="shared" si="0"/>
        <v>2743400485</v>
      </c>
      <c r="V9" s="13">
        <f t="shared" si="0"/>
        <v>2743400485</v>
      </c>
      <c r="W9" s="13">
        <f t="shared" si="0"/>
        <v>2743400485</v>
      </c>
      <c r="X9" s="13">
        <f t="shared" si="0"/>
        <v>2743400485</v>
      </c>
      <c r="Y9" s="13">
        <f t="shared" si="0"/>
        <v>2743400485</v>
      </c>
      <c r="Z9" s="13">
        <f t="shared" si="0"/>
        <v>2743400485</v>
      </c>
      <c r="AA9" s="13">
        <f t="shared" si="0"/>
        <v>2743400485</v>
      </c>
      <c r="AB9" s="13">
        <f t="shared" si="0"/>
        <v>2743400485</v>
      </c>
      <c r="AC9" s="13">
        <f t="shared" si="0"/>
        <v>2743400485</v>
      </c>
      <c r="AD9" s="13">
        <f t="shared" si="0"/>
        <v>2743400485</v>
      </c>
      <c r="AE9" s="13">
        <f t="shared" si="0"/>
        <v>2743400485</v>
      </c>
      <c r="AF9" s="13">
        <f t="shared" si="0"/>
        <v>2743400485</v>
      </c>
      <c r="AG9" s="13">
        <f t="shared" si="0"/>
        <v>2743400485</v>
      </c>
      <c r="AH9" s="13">
        <f t="shared" si="0"/>
        <v>2743400485</v>
      </c>
      <c r="AI9" s="13">
        <f t="shared" si="0"/>
        <v>2743400485</v>
      </c>
      <c r="AJ9" s="13">
        <f t="shared" si="0"/>
        <v>2743400485</v>
      </c>
      <c r="AK9" s="13">
        <f t="shared" si="0"/>
        <v>2743400485</v>
      </c>
      <c r="AL9" s="13">
        <f t="shared" si="0"/>
        <v>2743400485</v>
      </c>
      <c r="AM9" s="13">
        <f t="shared" si="0"/>
        <v>2743400485</v>
      </c>
      <c r="AN9" s="13">
        <f t="shared" si="0"/>
        <v>2743400485</v>
      </c>
      <c r="AO9" s="13">
        <f t="shared" si="0"/>
        <v>2743400485</v>
      </c>
      <c r="AP9" s="13">
        <f t="shared" si="0"/>
        <v>2743400485</v>
      </c>
      <c r="AQ9" s="13">
        <f t="shared" si="0"/>
        <v>2743400485</v>
      </c>
      <c r="AR9" s="13">
        <f t="shared" si="0"/>
        <v>2743400485</v>
      </c>
      <c r="AS9" s="13">
        <f t="shared" si="0"/>
        <v>2743400485</v>
      </c>
      <c r="AT9" s="13">
        <f t="shared" si="0"/>
        <v>2743400485</v>
      </c>
      <c r="AU9" s="13">
        <f t="shared" si="0"/>
        <v>2743400485</v>
      </c>
      <c r="AV9" s="13">
        <f t="shared" si="0"/>
        <v>2743400485</v>
      </c>
      <c r="AW9" s="13">
        <f t="shared" si="0"/>
        <v>2743400485</v>
      </c>
      <c r="AX9" s="13">
        <f t="shared" si="0"/>
        <v>2743400485</v>
      </c>
      <c r="AY9" s="13">
        <f t="shared" si="0"/>
        <v>2743400485</v>
      </c>
      <c r="AZ9" s="13">
        <f t="shared" si="0"/>
        <v>2743400485</v>
      </c>
      <c r="BA9" s="13">
        <f t="shared" si="0"/>
        <v>2743400485</v>
      </c>
    </row>
    <row r="11" spans="1:53">
      <c r="A11" s="6" t="s">
        <v>144</v>
      </c>
      <c r="B11" s="1">
        <v>2013</v>
      </c>
      <c r="C11" s="1">
        <v>2014</v>
      </c>
      <c r="D11" s="1">
        <v>2015</v>
      </c>
      <c r="E11" s="1">
        <v>2016</v>
      </c>
      <c r="F11" s="1">
        <v>2017</v>
      </c>
      <c r="G11" s="1">
        <v>2018</v>
      </c>
      <c r="H11" s="1">
        <v>2019</v>
      </c>
      <c r="I11" s="1">
        <v>2020</v>
      </c>
      <c r="J11" s="1">
        <v>2021</v>
      </c>
      <c r="K11" s="1">
        <v>2022</v>
      </c>
      <c r="L11" s="1">
        <v>2023</v>
      </c>
      <c r="M11" s="1">
        <v>2024</v>
      </c>
      <c r="N11" s="1">
        <v>2025</v>
      </c>
      <c r="O11" s="1">
        <v>2026</v>
      </c>
      <c r="P11" s="1">
        <v>2027</v>
      </c>
      <c r="Q11" s="1">
        <v>2028</v>
      </c>
      <c r="R11" s="1">
        <v>2029</v>
      </c>
      <c r="S11" s="1">
        <v>2030</v>
      </c>
      <c r="T11" s="1">
        <v>2031</v>
      </c>
      <c r="U11" s="1">
        <v>2032</v>
      </c>
      <c r="V11" s="1">
        <v>2033</v>
      </c>
      <c r="W11" s="1">
        <v>2034</v>
      </c>
      <c r="X11" s="1">
        <v>2035</v>
      </c>
      <c r="Y11" s="1">
        <v>2036</v>
      </c>
      <c r="Z11" s="1">
        <v>2037</v>
      </c>
      <c r="AA11" s="1">
        <v>2038</v>
      </c>
      <c r="AB11" s="1">
        <v>2039</v>
      </c>
      <c r="AC11" s="1">
        <v>2040</v>
      </c>
      <c r="AD11" s="1">
        <v>2041</v>
      </c>
      <c r="AE11" s="1">
        <v>2042</v>
      </c>
      <c r="AF11" s="1">
        <v>2043</v>
      </c>
      <c r="AG11" s="1">
        <v>2044</v>
      </c>
      <c r="AH11" s="1">
        <v>2045</v>
      </c>
      <c r="AI11" s="1">
        <v>2046</v>
      </c>
      <c r="AJ11" s="1">
        <v>2047</v>
      </c>
      <c r="AK11" s="1">
        <v>2048</v>
      </c>
      <c r="AL11" s="1">
        <v>2049</v>
      </c>
      <c r="AM11" s="1">
        <v>2050</v>
      </c>
      <c r="AN11" s="1">
        <v>2051</v>
      </c>
      <c r="AO11" s="1">
        <v>2052</v>
      </c>
      <c r="AP11" s="1">
        <v>2053</v>
      </c>
      <c r="AQ11" s="1">
        <v>2054</v>
      </c>
      <c r="AR11" s="1">
        <v>2055</v>
      </c>
      <c r="AS11" s="1">
        <v>2056</v>
      </c>
      <c r="AT11" s="1">
        <v>2057</v>
      </c>
      <c r="AU11" s="1">
        <v>2058</v>
      </c>
      <c r="AV11" s="1">
        <v>2059</v>
      </c>
      <c r="AW11" s="1">
        <v>2060</v>
      </c>
      <c r="AX11" s="1">
        <v>2061</v>
      </c>
      <c r="AY11" s="1">
        <v>2062</v>
      </c>
      <c r="AZ11" s="1">
        <v>2063</v>
      </c>
      <c r="BA11" s="1">
        <v>2064</v>
      </c>
    </row>
    <row r="12" spans="1:53">
      <c r="A12" t="s">
        <v>145</v>
      </c>
      <c r="B12">
        <f xml:space="preserve"> Executive_Summary!F2</f>
        <v>0.13</v>
      </c>
      <c r="C12">
        <f xml:space="preserve"> B12 * (1 + Executive_Summary!$B$3)</f>
        <v>0.1313</v>
      </c>
      <c r="D12">
        <f xml:space="preserve"> C12 * (1 + Executive_Summary!$B$3)</f>
        <v>0.13261300000000001</v>
      </c>
      <c r="E12">
        <f xml:space="preserve"> D12 * (1 + Executive_Summary!$B$3)</f>
        <v>0.13393913000000002</v>
      </c>
      <c r="F12">
        <f xml:space="preserve"> E12 * (1 + Executive_Summary!$B$3)</f>
        <v>0.13527852130000001</v>
      </c>
      <c r="G12">
        <f xml:space="preserve"> F12 * (1 + Executive_Summary!$B$3)</f>
        <v>0.13663130651300001</v>
      </c>
      <c r="H12">
        <f xml:space="preserve"> G12 * (1 + Executive_Summary!$B$3)</f>
        <v>0.13799761957813</v>
      </c>
      <c r="I12">
        <f xml:space="preserve"> H12 * (1 + Executive_Summary!$B$3)</f>
        <v>0.13937759577391132</v>
      </c>
      <c r="J12">
        <f xml:space="preserve"> I12 * (1 + Executive_Summary!$B$3)</f>
        <v>0.14077137173165044</v>
      </c>
      <c r="K12">
        <f xml:space="preserve"> J12 * (1 + Executive_Summary!$B$3)</f>
        <v>0.14217908544896696</v>
      </c>
      <c r="L12">
        <f xml:space="preserve"> K12 * (1 + Executive_Summary!$B$3)</f>
        <v>0.14360087630345664</v>
      </c>
      <c r="M12">
        <f xml:space="preserve"> L12 * (1 + Executive_Summary!$B$3)</f>
        <v>0.14503688506649121</v>
      </c>
      <c r="N12">
        <f xml:space="preserve"> M12 * (1 + Executive_Summary!$B$3)</f>
        <v>0.14648725391715611</v>
      </c>
      <c r="O12">
        <f xml:space="preserve"> N12 * (1 + Executive_Summary!$B$3)</f>
        <v>0.14795212645632769</v>
      </c>
      <c r="P12">
        <f xml:space="preserve"> O12 * (1 + Executive_Summary!$B$3)</f>
        <v>0.14943164772089096</v>
      </c>
      <c r="Q12">
        <f xml:space="preserve"> P12 * (1 + Executive_Summary!$B$3)</f>
        <v>0.15092596419809987</v>
      </c>
      <c r="R12">
        <f xml:space="preserve"> Q12 * (1 + Executive_Summary!$B$3)</f>
        <v>0.15243522384008087</v>
      </c>
      <c r="S12">
        <f xml:space="preserve"> R12 * (1 + Executive_Summary!$B$3)</f>
        <v>0.15395957607848168</v>
      </c>
      <c r="T12">
        <f xml:space="preserve"> S12 * (1 + Executive_Summary!$B$3)</f>
        <v>0.15549917183926651</v>
      </c>
      <c r="U12">
        <f xml:space="preserve"> T12 * (1 + Executive_Summary!$B$3)</f>
        <v>0.15705416355765917</v>
      </c>
      <c r="V12">
        <f xml:space="preserve"> U12 * (1 + Executive_Summary!$B$3)</f>
        <v>0.15862470519323577</v>
      </c>
      <c r="W12">
        <f xml:space="preserve"> V12 * (1 + Executive_Summary!$B$3)</f>
        <v>0.16021095224516813</v>
      </c>
      <c r="X12">
        <f xml:space="preserve"> W12 * (1 + Executive_Summary!$B$3)</f>
        <v>0.16181306176761981</v>
      </c>
      <c r="Y12">
        <f xml:space="preserve"> X12 * (1 + Executive_Summary!$B$3)</f>
        <v>0.16343119238529602</v>
      </c>
      <c r="Z12">
        <f xml:space="preserve"> Y12 * (1 + Executive_Summary!$B$3)</f>
        <v>0.16506550430914899</v>
      </c>
      <c r="AA12">
        <f xml:space="preserve"> Z12 * (1 + Executive_Summary!$B$3)</f>
        <v>0.16671615935224049</v>
      </c>
      <c r="AB12">
        <f xml:space="preserve"> AA12 * (1 + Executive_Summary!$B$3)</f>
        <v>0.16838332094576289</v>
      </c>
      <c r="AC12">
        <f xml:space="preserve"> AB12 * (1 + Executive_Summary!$B$3)</f>
        <v>0.17006715415522053</v>
      </c>
      <c r="AD12">
        <f xml:space="preserve"> AC12 * (1 + Executive_Summary!$B$3)</f>
        <v>0.17176782569677274</v>
      </c>
      <c r="AE12">
        <f xml:space="preserve"> AD12 * (1 + Executive_Summary!$B$3)</f>
        <v>0.17348550395374046</v>
      </c>
      <c r="AF12">
        <f xml:space="preserve"> AE12 * (1 + Executive_Summary!$B$3)</f>
        <v>0.17522035899327787</v>
      </c>
      <c r="AG12">
        <f xml:space="preserve"> AF12 * (1 + Executive_Summary!$B$3)</f>
        <v>0.17697256258321065</v>
      </c>
      <c r="AH12">
        <f xml:space="preserve"> AG12 * (1 + Executive_Summary!$B$3)</f>
        <v>0.17874228820904275</v>
      </c>
      <c r="AI12">
        <f xml:space="preserve"> AH12 * (1 + Executive_Summary!$B$3)</f>
        <v>0.18052971109113319</v>
      </c>
      <c r="AJ12">
        <f xml:space="preserve"> AI12 * (1 + Executive_Summary!$B$3)</f>
        <v>0.18233500820204454</v>
      </c>
      <c r="AK12">
        <f xml:space="preserve"> AJ12 * (1 + Executive_Summary!$B$3)</f>
        <v>0.18415835828406499</v>
      </c>
      <c r="AL12">
        <f xml:space="preserve"> AK12 * (1 + Executive_Summary!$B$3)</f>
        <v>0.18599994186690563</v>
      </c>
      <c r="AM12">
        <f xml:space="preserve"> AL12 * (1 + Executive_Summary!$B$3)</f>
        <v>0.18785994128557468</v>
      </c>
      <c r="AN12">
        <f xml:space="preserve"> AM12 * (1 + Executive_Summary!$B$3)</f>
        <v>0.18973854069843044</v>
      </c>
      <c r="AO12">
        <f xml:space="preserve"> AN12 * (1 + Executive_Summary!$B$3)</f>
        <v>0.19163592610541474</v>
      </c>
      <c r="AP12">
        <f xml:space="preserve"> AO12 * (1 + Executive_Summary!$B$3)</f>
        <v>0.1935522853664689</v>
      </c>
      <c r="AQ12">
        <f xml:space="preserve"> AP12 * (1 + Executive_Summary!$B$3)</f>
        <v>0.19548780822013359</v>
      </c>
      <c r="AR12">
        <f xml:space="preserve"> AQ12 * (1 + Executive_Summary!$B$3)</f>
        <v>0.19744268630233494</v>
      </c>
      <c r="AS12">
        <f xml:space="preserve"> AR12 * (1 + Executive_Summary!$B$3)</f>
        <v>0.19941711316535829</v>
      </c>
      <c r="AT12">
        <f xml:space="preserve"> AS12 * (1 + Executive_Summary!$B$3)</f>
        <v>0.20141128429701188</v>
      </c>
      <c r="AU12">
        <f xml:space="preserve"> AT12 * (1 + Executive_Summary!$B$3)</f>
        <v>0.20342539713998201</v>
      </c>
      <c r="AV12">
        <f xml:space="preserve"> AU12 * (1 + Executive_Summary!$B$3)</f>
        <v>0.20545965111138184</v>
      </c>
      <c r="AW12">
        <f xml:space="preserve"> AV12 * (1 + Executive_Summary!$B$3)</f>
        <v>0.20751424762249565</v>
      </c>
      <c r="AX12">
        <f xml:space="preserve"> AW12 * (1 + Executive_Summary!$B$3)</f>
        <v>0.2095893900987206</v>
      </c>
      <c r="AY12">
        <f xml:space="preserve"> AX12 * (1 + Executive_Summary!$B$3)</f>
        <v>0.21168528399970782</v>
      </c>
      <c r="AZ12">
        <f xml:space="preserve"> AY12 * (1 + Executive_Summary!$B$3)</f>
        <v>0.21380213683970489</v>
      </c>
      <c r="BA12">
        <f xml:space="preserve"> AZ12 * (1 + Executive_Summary!$B$3)</f>
        <v>0.21594015820810195</v>
      </c>
    </row>
    <row r="13" spans="1:53">
      <c r="A13" t="s">
        <v>146</v>
      </c>
      <c r="B13">
        <f xml:space="preserve"> Executive_Summary!F3</f>
        <v>0.16</v>
      </c>
      <c r="C13">
        <f xml:space="preserve"> B13 * (1 + Executive_Summary!$B$3)</f>
        <v>0.16159999999999999</v>
      </c>
      <c r="D13">
        <f xml:space="preserve"> C13 * (1 + Executive_Summary!$B$3)</f>
        <v>0.163216</v>
      </c>
      <c r="E13">
        <f xml:space="preserve"> D13 * (1 + Executive_Summary!$B$3)</f>
        <v>0.16484815999999999</v>
      </c>
      <c r="F13">
        <f xml:space="preserve"> E13 * (1 + Executive_Summary!$B$3)</f>
        <v>0.16649664159999999</v>
      </c>
      <c r="G13">
        <f xml:space="preserve"> F13 * (1 + Executive_Summary!$B$3)</f>
        <v>0.168161608016</v>
      </c>
      <c r="H13">
        <f xml:space="preserve"> G13 * (1 + Executive_Summary!$B$3)</f>
        <v>0.16984322409616001</v>
      </c>
      <c r="I13">
        <f xml:space="preserve"> H13 * (1 + Executive_Summary!$B$3)</f>
        <v>0.17154165633712162</v>
      </c>
      <c r="J13">
        <f xml:space="preserve"> I13 * (1 + Executive_Summary!$B$3)</f>
        <v>0.17325707290049283</v>
      </c>
      <c r="K13">
        <f xml:space="preserve"> J13 * (1 + Executive_Summary!$B$3)</f>
        <v>0.17498964362949776</v>
      </c>
      <c r="L13">
        <f xml:space="preserve"> K13 * (1 + Executive_Summary!$B$3)</f>
        <v>0.17673954006579273</v>
      </c>
      <c r="M13">
        <f xml:space="preserve"> L13 * (1 + Executive_Summary!$B$3)</f>
        <v>0.17850693546645066</v>
      </c>
      <c r="N13">
        <f xml:space="preserve"> M13 * (1 + Executive_Summary!$B$3)</f>
        <v>0.18029200482111518</v>
      </c>
      <c r="O13">
        <f xml:space="preserve"> N13 * (1 + Executive_Summary!$B$3)</f>
        <v>0.18209492486932632</v>
      </c>
      <c r="P13">
        <f xml:space="preserve"> O13 * (1 + Executive_Summary!$B$3)</f>
        <v>0.1839158741180196</v>
      </c>
      <c r="Q13">
        <f xml:space="preserve"> P13 * (1 + Executive_Summary!$B$3)</f>
        <v>0.18575503285919981</v>
      </c>
      <c r="R13">
        <f xml:space="preserve"> Q13 * (1 + Executive_Summary!$B$3)</f>
        <v>0.18761258318779181</v>
      </c>
      <c r="S13">
        <f xml:space="preserve"> R13 * (1 + Executive_Summary!$B$3)</f>
        <v>0.18948870901966972</v>
      </c>
      <c r="T13">
        <f xml:space="preserve"> S13 * (1 + Executive_Summary!$B$3)</f>
        <v>0.19138359610986641</v>
      </c>
      <c r="U13">
        <f xml:space="preserve"> T13 * (1 + Executive_Summary!$B$3)</f>
        <v>0.19329743207096509</v>
      </c>
      <c r="V13">
        <f xml:space="preserve"> U13 * (1 + Executive_Summary!$B$3)</f>
        <v>0.19523040639167474</v>
      </c>
      <c r="W13">
        <f xml:space="preserve"> V13 * (1 + Executive_Summary!$B$3)</f>
        <v>0.19718271045559149</v>
      </c>
      <c r="X13">
        <f xml:space="preserve"> W13 * (1 + Executive_Summary!$B$3)</f>
        <v>0.19915453756014742</v>
      </c>
      <c r="Y13">
        <f xml:space="preserve"> X13 * (1 + Executive_Summary!$B$3)</f>
        <v>0.2011460829357489</v>
      </c>
      <c r="Z13">
        <f xml:space="preserve"> Y13 * (1 + Executive_Summary!$B$3)</f>
        <v>0.20315754376510639</v>
      </c>
      <c r="AA13">
        <f xml:space="preserve"> Z13 * (1 + Executive_Summary!$B$3)</f>
        <v>0.20518911920275745</v>
      </c>
      <c r="AB13">
        <f xml:space="preserve"> AA13 * (1 + Executive_Summary!$B$3)</f>
        <v>0.20724101039478504</v>
      </c>
      <c r="AC13">
        <f xml:space="preserve"> AB13 * (1 + Executive_Summary!$B$3)</f>
        <v>0.20931342049873289</v>
      </c>
      <c r="AD13">
        <f xml:space="preserve"> AC13 * (1 + Executive_Summary!$B$3)</f>
        <v>0.21140655470372022</v>
      </c>
      <c r="AE13">
        <f xml:space="preserve"> AD13 * (1 + Executive_Summary!$B$3)</f>
        <v>0.21352062025075741</v>
      </c>
      <c r="AF13">
        <f xml:space="preserve"> AE13 * (1 + Executive_Summary!$B$3)</f>
        <v>0.21565582645326498</v>
      </c>
      <c r="AG13">
        <f xml:space="preserve"> AF13 * (1 + Executive_Summary!$B$3)</f>
        <v>0.21781238471779762</v>
      </c>
      <c r="AH13">
        <f xml:space="preserve"> AG13 * (1 + Executive_Summary!$B$3)</f>
        <v>0.2199905085649756</v>
      </c>
      <c r="AI13">
        <f xml:space="preserve"> AH13 * (1 + Executive_Summary!$B$3)</f>
        <v>0.22219041365062536</v>
      </c>
      <c r="AJ13">
        <f xml:space="preserve"> AI13 * (1 + Executive_Summary!$B$3)</f>
        <v>0.22441231778713161</v>
      </c>
      <c r="AK13">
        <f xml:space="preserve"> AJ13 * (1 + Executive_Summary!$B$3)</f>
        <v>0.22665644096500293</v>
      </c>
      <c r="AL13">
        <f xml:space="preserve"> AK13 * (1 + Executive_Summary!$B$3)</f>
        <v>0.22892300537465296</v>
      </c>
      <c r="AM13">
        <f xml:space="preserve"> AL13 * (1 + Executive_Summary!$B$3)</f>
        <v>0.2312122354283995</v>
      </c>
      <c r="AN13">
        <f xml:space="preserve"> AM13 * (1 + Executive_Summary!$B$3)</f>
        <v>0.23352435778268349</v>
      </c>
      <c r="AO13">
        <f xml:space="preserve"> AN13 * (1 + Executive_Summary!$B$3)</f>
        <v>0.23585960136051032</v>
      </c>
      <c r="AP13">
        <f xml:space="preserve"> AO13 * (1 + Executive_Summary!$B$3)</f>
        <v>0.23821819737411543</v>
      </c>
      <c r="AQ13">
        <f xml:space="preserve"> AP13 * (1 + Executive_Summary!$B$3)</f>
        <v>0.24060037934785658</v>
      </c>
      <c r="AR13">
        <f xml:space="preserve"> AQ13 * (1 + Executive_Summary!$B$3)</f>
        <v>0.24300638314133516</v>
      </c>
      <c r="AS13">
        <f xml:space="preserve"> AR13 * (1 + Executive_Summary!$B$3)</f>
        <v>0.24543644697274852</v>
      </c>
      <c r="AT13">
        <f xml:space="preserve"> AS13 * (1 + Executive_Summary!$B$3)</f>
        <v>0.24789081144247602</v>
      </c>
      <c r="AU13">
        <f xml:space="preserve"> AT13 * (1 + Executive_Summary!$B$3)</f>
        <v>0.25036971955690079</v>
      </c>
      <c r="AV13">
        <f xml:space="preserve"> AU13 * (1 + Executive_Summary!$B$3)</f>
        <v>0.25287341675246983</v>
      </c>
      <c r="AW13">
        <f xml:space="preserve"> AV13 * (1 + Executive_Summary!$B$3)</f>
        <v>0.25540215091999452</v>
      </c>
      <c r="AX13">
        <f xml:space="preserve"> AW13 * (1 + Executive_Summary!$B$3)</f>
        <v>0.25795617242919444</v>
      </c>
      <c r="AY13">
        <f xml:space="preserve"> AX13 * (1 + Executive_Summary!$B$3)</f>
        <v>0.26053573415348641</v>
      </c>
      <c r="AZ13">
        <f xml:space="preserve"> AY13 * (1 + Executive_Summary!$B$3)</f>
        <v>0.2631410914950213</v>
      </c>
      <c r="BA13">
        <f xml:space="preserve"> AZ13 * (1 + Executive_Summary!$B$3)</f>
        <v>0.26577250240997152</v>
      </c>
    </row>
    <row r="14" spans="1:53">
      <c r="A14" t="s">
        <v>147</v>
      </c>
      <c r="B14">
        <f xml:space="preserve"> Executive_Summary!F4</f>
        <v>0.27</v>
      </c>
    </row>
    <row r="15" spans="1:53">
      <c r="A15" t="s">
        <v>148</v>
      </c>
      <c r="B15">
        <f xml:space="preserve"> Executive_Summary!F5</f>
        <v>0.31</v>
      </c>
    </row>
    <row r="16" spans="1:53">
      <c r="A16" t="s">
        <v>149</v>
      </c>
      <c r="B16">
        <f xml:space="preserve"> Executive_Summary!F6</f>
        <v>0.31</v>
      </c>
    </row>
    <row r="17" spans="1:2">
      <c r="A17" t="s">
        <v>150</v>
      </c>
      <c r="B17">
        <f xml:space="preserve"> Executive_Summary!F7</f>
        <v>3.5000000000000003E-2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21"/>
  <sheetViews>
    <sheetView workbookViewId="0">
      <selection activeCell="A2" sqref="A2:XFD2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130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IF(AND(Executive_Summary!$B$42 &lt;= B2, Executive_Summary!$B$43&gt;= B2), B6 *(1 - Executive_Summary!$B$41), B6)</f>
        <v>4991</v>
      </c>
      <c r="C3">
        <f xml:space="preserve"> IF(AND(Executive_Summary!$B$42 &lt;= C2, Executive_Summary!$B$43&gt;= C2), C6 *(1 - Executive_Summary!$B$41), C6)</f>
        <v>4741.45</v>
      </c>
      <c r="D3">
        <f xml:space="preserve"> IF(AND(Executive_Summary!$B$42 &lt;= D2, Executive_Summary!$B$43&gt;= D2), D6 *(1 - Executive_Summary!$B$41), D6)</f>
        <v>4504.3774999999996</v>
      </c>
      <c r="E3">
        <f xml:space="preserve"> IF(AND(Executive_Summary!$B$42 &lt;= E2, Executive_Summary!$B$43&gt;= E2), E6 *(1 - Executive_Summary!$B$41), E6)</f>
        <v>4279.158625</v>
      </c>
      <c r="F3">
        <f xml:space="preserve"> IF(AND(Executive_Summary!$B$42 &lt;= F2, Executive_Summary!$B$43&gt;= F2), F6 *(1 - Executive_Summary!$B$41), F6)</f>
        <v>4065.2006937499996</v>
      </c>
      <c r="G3">
        <f xml:space="preserve"> IF(AND(Executive_Summary!$B$42 &lt;= G2, Executive_Summary!$B$43&gt;= G2), G6 *(1 - Executive_Summary!$B$41), G6)</f>
        <v>5517.0580843749995</v>
      </c>
      <c r="H3">
        <f xml:space="preserve"> IF(AND(Executive_Summary!$B$42 &lt;= H2, Executive_Summary!$B$43&gt;= H2), H6 *(1 - Executive_Summary!$B$41), H6)</f>
        <v>5241.2051801562493</v>
      </c>
      <c r="I3">
        <f xml:space="preserve"> IF(AND(Executive_Summary!$B$42 &lt;= I2, Executive_Summary!$B$43&gt;= I2), I6 *(1 - Executive_Summary!$B$41), I6)</f>
        <v>4979.1449211484369</v>
      </c>
      <c r="J3">
        <f xml:space="preserve"> IF(AND(Executive_Summary!$B$42 &lt;= J2, Executive_Summary!$B$43&gt;= J2), J6 *(1 - Executive_Summary!$B$41), J6)</f>
        <v>4730.1876750910151</v>
      </c>
      <c r="K3">
        <f xml:space="preserve"> IF(AND(Executive_Summary!$B$42 &lt;= K2, Executive_Summary!$B$43&gt;= K2), K6 *(1 - Executive_Summary!$B$41), K6)</f>
        <v>4493.6782913364641</v>
      </c>
      <c r="L3">
        <f xml:space="preserve"> IF(AND(Executive_Summary!$B$42 &lt;= L2, Executive_Summary!$B$43&gt;= L2), L6 *(1 - Executive_Summary!$B$41), L6)</f>
        <v>4268.9943767696404</v>
      </c>
      <c r="M3">
        <f xml:space="preserve"> IF(AND(Executive_Summary!$B$42 &lt;= M2, Executive_Summary!$B$43&gt;= M2), M6 *(1 - Executive_Summary!$B$41), M6)</f>
        <v>4055.5446579311583</v>
      </c>
      <c r="N3">
        <f xml:space="preserve"> IF(AND(Executive_Summary!$B$42 &lt;= N2, Executive_Summary!$B$43&gt;= N2), N6 *(1 - Executive_Summary!$B$41), N6)</f>
        <v>3852.7674250346004</v>
      </c>
      <c r="O3">
        <f xml:space="preserve"> IF(AND(Executive_Summary!$B$42 &lt;= O2, Executive_Summary!$B$43&gt;= O2), O6 *(1 - Executive_Summary!$B$41), O6)</f>
        <v>3660.12905378287</v>
      </c>
      <c r="P3">
        <f xml:space="preserve"> IF(AND(Executive_Summary!$B$42 &lt;= P2, Executive_Summary!$B$43&gt;= P2), P6 *(1 - Executive_Summary!$B$41), P6)</f>
        <v>3477.1226010937262</v>
      </c>
      <c r="Q3">
        <f xml:space="preserve"> IF(AND(Executive_Summary!$B$42 &lt;= Q2, Executive_Summary!$B$43&gt;= Q2), Q6 *(1 - Executive_Summary!$B$41), Q6)</f>
        <v>3303.2664710390395</v>
      </c>
      <c r="R3">
        <f xml:space="preserve"> IF(AND(Executive_Summary!$B$42 &lt;= R2, Executive_Summary!$B$43&gt;= R2), R6 *(1 - Executive_Summary!$B$41), R6)</f>
        <v>3138.1031474870874</v>
      </c>
      <c r="S3">
        <f xml:space="preserve"> IF(AND(Executive_Summary!$B$42 &lt;= S2, Executive_Summary!$B$43&gt;= S2), S6 *(1 - Executive_Summary!$B$41), S6)</f>
        <v>2981.1979901127329</v>
      </c>
      <c r="T3">
        <f xml:space="preserve"> IF(AND(Executive_Summary!$B$42 &lt;= T2, Executive_Summary!$B$43&gt;= T2), T6 *(1 - Executive_Summary!$B$41), T6)</f>
        <v>2832.1380906070963</v>
      </c>
      <c r="U3">
        <f xml:space="preserve"> IF(AND(Executive_Summary!$B$42 &lt;= U2, Executive_Summary!$B$43&gt;= U2), U6 *(1 - Executive_Summary!$B$41), U6)</f>
        <v>2690.5311860767415</v>
      </c>
    </row>
    <row r="5" spans="1:21">
      <c r="A5" s="6" t="s">
        <v>131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Executive_Summary!B39</f>
        <v>7130</v>
      </c>
      <c r="C6">
        <f xml:space="preserve"> B6 *(1 - Executive_Summary!$B$40)</f>
        <v>6773.5</v>
      </c>
      <c r="D6">
        <f xml:space="preserve"> C6 *(1 - Executive_Summary!$B$40)</f>
        <v>6434.8249999999998</v>
      </c>
      <c r="E6">
        <f xml:space="preserve"> D6 *(1 - Executive_Summary!$B$40)</f>
        <v>6113.0837499999998</v>
      </c>
      <c r="F6">
        <f xml:space="preserve"> E6 *(1 - Executive_Summary!$B$40)</f>
        <v>5807.4295624999995</v>
      </c>
      <c r="G6">
        <f xml:space="preserve"> F6 *(1 - Executive_Summary!$B$40)</f>
        <v>5517.0580843749995</v>
      </c>
      <c r="H6">
        <f xml:space="preserve"> G6 *(1 - Executive_Summary!$B$40)</f>
        <v>5241.2051801562493</v>
      </c>
      <c r="I6">
        <f xml:space="preserve"> H6 *(1 - Executive_Summary!$B$40)</f>
        <v>4979.1449211484369</v>
      </c>
      <c r="J6">
        <f xml:space="preserve"> I6 *(1 - Executive_Summary!$B$40)</f>
        <v>4730.1876750910151</v>
      </c>
      <c r="K6">
        <f xml:space="preserve"> J6 *(1 - Executive_Summary!$B$40)</f>
        <v>4493.6782913364641</v>
      </c>
      <c r="L6">
        <f xml:space="preserve"> K6 *(1 - Executive_Summary!$B$40)</f>
        <v>4268.9943767696404</v>
      </c>
      <c r="M6">
        <f xml:space="preserve"> L6 *(1 - Executive_Summary!$B$40)</f>
        <v>4055.5446579311583</v>
      </c>
      <c r="N6">
        <f xml:space="preserve"> M6 *(1 - Executive_Summary!$B$40)</f>
        <v>3852.7674250346004</v>
      </c>
      <c r="O6">
        <f xml:space="preserve"> N6 *(1 - Executive_Summary!$B$40)</f>
        <v>3660.12905378287</v>
      </c>
      <c r="P6">
        <f xml:space="preserve"> O6 *(1 - Executive_Summary!$B$40)</f>
        <v>3477.1226010937262</v>
      </c>
      <c r="Q6">
        <f xml:space="preserve"> P6 *(1 - Executive_Summary!$B$40)</f>
        <v>3303.2664710390395</v>
      </c>
      <c r="R6">
        <f xml:space="preserve"> Q6 *(1 - Executive_Summary!$B$40)</f>
        <v>3138.1031474870874</v>
      </c>
      <c r="S6">
        <f xml:space="preserve"> R6 *(1 - Executive_Summary!$B$40)</f>
        <v>2981.1979901127329</v>
      </c>
      <c r="T6">
        <f xml:space="preserve"> S6 *(1 - Executive_Summary!$B$40)</f>
        <v>2832.1380906070963</v>
      </c>
      <c r="U6">
        <f xml:space="preserve"> T6 *(1 - Executive_Summary!$B$40)</f>
        <v>2690.5311860767415</v>
      </c>
    </row>
    <row r="8" spans="1:21" ht="30">
      <c r="A8" s="29" t="s">
        <v>107</v>
      </c>
    </row>
    <row r="9" spans="1:21">
      <c r="A9">
        <v>150</v>
      </c>
    </row>
    <row r="12" spans="1:21" ht="30">
      <c r="A12" s="29" t="s">
        <v>135</v>
      </c>
      <c r="B12" s="29" t="s">
        <v>136</v>
      </c>
    </row>
    <row r="13" spans="1:21">
      <c r="A13">
        <v>1</v>
      </c>
      <c r="B13" s="51">
        <v>1</v>
      </c>
    </row>
    <row r="14" spans="1:21">
      <c r="A14">
        <v>2</v>
      </c>
      <c r="B14" s="51">
        <v>2</v>
      </c>
    </row>
    <row r="15" spans="1:21">
      <c r="A15">
        <v>3</v>
      </c>
      <c r="B15" s="51">
        <v>2</v>
      </c>
    </row>
    <row r="16" spans="1:21">
      <c r="A16">
        <v>4</v>
      </c>
      <c r="B16" s="51">
        <v>3</v>
      </c>
    </row>
    <row r="17" spans="1:2">
      <c r="A17">
        <v>5</v>
      </c>
      <c r="B17" s="51">
        <v>3</v>
      </c>
    </row>
    <row r="18" spans="1:2">
      <c r="A18">
        <v>6</v>
      </c>
      <c r="B18" s="51">
        <v>6</v>
      </c>
    </row>
    <row r="20" spans="1:2" ht="30">
      <c r="A20" s="54" t="s">
        <v>139</v>
      </c>
    </row>
    <row r="21" spans="1:2">
      <c r="A21" s="55">
        <v>0.3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0"/>
  <sheetViews>
    <sheetView workbookViewId="0">
      <selection activeCell="F26" sqref="F26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  <col min="11" max="11" width="11" customWidth="1"/>
  </cols>
  <sheetData>
    <row r="1" spans="1:11">
      <c r="A1" s="28" t="s">
        <v>105</v>
      </c>
      <c r="C1" s="28" t="s">
        <v>142</v>
      </c>
    </row>
    <row r="2" spans="1:11">
      <c r="A2" s="33">
        <f xml:space="preserve"> Executive_Summary!B46</f>
        <v>4116775</v>
      </c>
      <c r="C2" s="53">
        <f xml:space="preserve"> Executive_Summary!H5</f>
        <v>20000</v>
      </c>
    </row>
    <row r="5" spans="1:11">
      <c r="A5" t="str">
        <f xml:space="preserve"> IF(OR(C5 &gt;100, C5 &lt; 0), Check_btw_100percent(), "")</f>
        <v/>
      </c>
      <c r="B5" s="49" t="s">
        <v>133</v>
      </c>
      <c r="C5" s="3">
        <f xml:space="preserve"> SUM(C8:C11)</f>
        <v>100</v>
      </c>
    </row>
    <row r="6" spans="1:11">
      <c r="A6" s="61" t="s">
        <v>103</v>
      </c>
      <c r="B6" s="62"/>
      <c r="C6" s="62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134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  <row r="14" spans="1:11">
      <c r="A14" s="5"/>
      <c r="B14" s="49" t="s">
        <v>133</v>
      </c>
      <c r="C14" s="49">
        <f xml:space="preserve"> SUM(C17:C20)</f>
        <v>100</v>
      </c>
      <c r="D14" s="5"/>
      <c r="E14" s="5"/>
      <c r="F14" s="5"/>
      <c r="G14" s="5"/>
      <c r="H14" s="5"/>
      <c r="I14" s="5"/>
      <c r="J14" s="5"/>
    </row>
    <row r="15" spans="1:11">
      <c r="A15" s="63" t="s">
        <v>140</v>
      </c>
      <c r="B15" s="63"/>
      <c r="C15" s="63"/>
      <c r="D15" s="56" t="s">
        <v>141</v>
      </c>
      <c r="E15" s="56"/>
      <c r="F15" s="56"/>
      <c r="G15" s="56"/>
      <c r="H15" s="56"/>
      <c r="I15" s="56"/>
      <c r="J15" s="5"/>
    </row>
    <row r="16" spans="1:11" ht="30">
      <c r="A16" s="4" t="s">
        <v>100</v>
      </c>
      <c r="B16" s="4" t="s">
        <v>27</v>
      </c>
      <c r="C16" s="4" t="s">
        <v>104</v>
      </c>
      <c r="D16" s="57" t="s">
        <v>28</v>
      </c>
      <c r="E16" s="57" t="s">
        <v>29</v>
      </c>
      <c r="F16" s="57" t="s">
        <v>30</v>
      </c>
      <c r="G16" s="57" t="s">
        <v>31</v>
      </c>
      <c r="H16" s="57" t="s">
        <v>32</v>
      </c>
      <c r="I16" s="57" t="s">
        <v>33</v>
      </c>
      <c r="J16" s="58" t="s">
        <v>134</v>
      </c>
    </row>
    <row r="17" spans="1:10">
      <c r="A17" s="5" t="s">
        <v>101</v>
      </c>
      <c r="B17" s="5" t="s">
        <v>1</v>
      </c>
      <c r="C17" s="5">
        <v>5.7627587</v>
      </c>
      <c r="D17" s="5">
        <v>4.4799999999999995</v>
      </c>
      <c r="E17" s="5">
        <v>16.239999999999998</v>
      </c>
      <c r="F17" s="5">
        <v>21.959999999999997</v>
      </c>
      <c r="G17" s="5">
        <v>19.040000000000003</v>
      </c>
      <c r="H17" s="5">
        <v>16.28</v>
      </c>
      <c r="I17" s="5">
        <v>22</v>
      </c>
      <c r="J17" s="5">
        <f xml:space="preserve"> SUM(D17:I17)</f>
        <v>100</v>
      </c>
    </row>
    <row r="18" spans="1:10">
      <c r="A18" s="5" t="s">
        <v>102</v>
      </c>
      <c r="B18" s="5" t="s">
        <v>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f t="shared" ref="J18:J20" si="1" xml:space="preserve"> SUM(D18:I18)</f>
        <v>0</v>
      </c>
    </row>
    <row r="19" spans="1:10">
      <c r="A19" s="5" t="s">
        <v>101</v>
      </c>
      <c r="B19" s="5" t="s">
        <v>106</v>
      </c>
      <c r="C19">
        <v>94.237241299999994</v>
      </c>
      <c r="D19" s="5">
        <v>1.9201604618169368</v>
      </c>
      <c r="E19" s="5">
        <v>7.9497089183503746</v>
      </c>
      <c r="F19" s="5">
        <v>18.387065212073772</v>
      </c>
      <c r="G19" s="5">
        <v>25.275182231789049</v>
      </c>
      <c r="H19" s="5">
        <v>20.287657159630154</v>
      </c>
      <c r="I19" s="5">
        <v>26.180226016339709</v>
      </c>
      <c r="J19" s="5">
        <f t="shared" si="1"/>
        <v>100</v>
      </c>
    </row>
    <row r="20" spans="1:10">
      <c r="A20" s="5" t="s">
        <v>102</v>
      </c>
      <c r="B20" s="5" t="s">
        <v>106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f t="shared" si="1"/>
        <v>0</v>
      </c>
    </row>
  </sheetData>
  <mergeCells count="2">
    <mergeCell ref="A6:C6"/>
    <mergeCell ref="A15:C15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E23" sqref="E23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27.6640625" bestFit="1" customWidth="1"/>
    <col min="5" max="5" width="23" bestFit="1" customWidth="1"/>
    <col min="6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Annual_Utility_Tier_Prices</vt:lpstr>
      <vt:lpstr>PV_Parameters</vt:lpstr>
      <vt:lpstr>Category_Names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2014-01-28T01:15:14Z</dcterms:modified>
</cp:coreProperties>
</file>